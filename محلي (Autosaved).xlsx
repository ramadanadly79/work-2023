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 tabRatio="916" firstSheet="2"/>
  </bookViews>
  <sheets>
    <sheet name="حساب حامد" sheetId="14" r:id="rId1"/>
    <sheet name="كل العملاء" sheetId="6" r:id="rId2"/>
    <sheet name="حامد بريد" sheetId="8" r:id="rId3"/>
    <sheet name="اسامه عبدالعظيم" sheetId="11" r:id="rId4"/>
    <sheet name="محمد حسن" sheetId="13" r:id="rId5"/>
    <sheet name="محمد العسقول" sheetId="12" r:id="rId6"/>
    <sheet name="غسان جمعة" sheetId="10" r:id="rId7"/>
    <sheet name="سيد ياسين" sheetId="5" r:id="rId8"/>
    <sheet name="فرزة" sheetId="9" r:id="rId9"/>
    <sheet name="محمدصابر" sheetId="1" r:id="rId10"/>
    <sheet name="هاني شتا" sheetId="7" r:id="rId11"/>
    <sheet name="نسخة اولية" sheetId="2" r:id="rId12"/>
  </sheets>
  <calcPr calcId="145621"/>
</workbook>
</file>

<file path=xl/calcChain.xml><?xml version="1.0" encoding="utf-8"?>
<calcChain xmlns="http://schemas.openxmlformats.org/spreadsheetml/2006/main">
  <c r="J18" i="6" l="1"/>
  <c r="K18" i="6"/>
  <c r="M18" i="6" s="1"/>
  <c r="J19" i="6"/>
  <c r="K19" i="6" s="1"/>
  <c r="M19" i="6" s="1"/>
  <c r="J20" i="6"/>
  <c r="K20" i="6"/>
  <c r="M20" i="6" s="1"/>
  <c r="J21" i="6"/>
  <c r="K21" i="6"/>
  <c r="M21" i="6"/>
  <c r="J22" i="6"/>
  <c r="K22" i="6"/>
  <c r="M22" i="6" s="1"/>
  <c r="J23" i="6"/>
  <c r="K23" i="6" s="1"/>
  <c r="J24" i="6"/>
  <c r="K24" i="6" s="1"/>
  <c r="J25" i="6"/>
  <c r="K25" i="6"/>
  <c r="L25" i="6"/>
  <c r="M25" i="6" s="1"/>
  <c r="J26" i="6"/>
  <c r="K26" i="6" s="1"/>
  <c r="J27" i="6"/>
  <c r="K27" i="6" s="1"/>
  <c r="J28" i="6"/>
  <c r="K28" i="6" s="1"/>
  <c r="J29" i="6"/>
  <c r="K29" i="6" s="1"/>
  <c r="J30" i="6"/>
  <c r="K30" i="6"/>
  <c r="L30" i="6"/>
  <c r="M30" i="6" s="1"/>
  <c r="J31" i="6"/>
  <c r="K31" i="6" s="1"/>
  <c r="J226" i="6"/>
  <c r="K226" i="6"/>
  <c r="M226" i="6" s="1"/>
  <c r="J227" i="6"/>
  <c r="K227" i="6" s="1"/>
  <c r="M227" i="6" s="1"/>
  <c r="J228" i="6"/>
  <c r="K228" i="6"/>
  <c r="M228" i="6" s="1"/>
  <c r="J229" i="6"/>
  <c r="K229" i="6" s="1"/>
  <c r="M229" i="6" s="1"/>
  <c r="J230" i="6"/>
  <c r="K230" i="6"/>
  <c r="M230" i="6" s="1"/>
  <c r="J231" i="6"/>
  <c r="K231" i="6"/>
  <c r="M231" i="6"/>
  <c r="J232" i="6"/>
  <c r="K232" i="6"/>
  <c r="M232" i="6" s="1"/>
  <c r="J233" i="6"/>
  <c r="K233" i="6" s="1"/>
  <c r="M233" i="6" s="1"/>
  <c r="J234" i="6"/>
  <c r="K234" i="6"/>
  <c r="M234" i="6" s="1"/>
  <c r="J235" i="6"/>
  <c r="K235" i="6" s="1"/>
  <c r="M235" i="6" s="1"/>
  <c r="J236" i="6"/>
  <c r="K236" i="6"/>
  <c r="M236" i="6" s="1"/>
  <c r="J237" i="6"/>
  <c r="K237" i="6"/>
  <c r="M237" i="6"/>
  <c r="J238" i="6"/>
  <c r="K238" i="6"/>
  <c r="M238" i="6" s="1"/>
  <c r="J239" i="6"/>
  <c r="K239" i="6" s="1"/>
  <c r="M239" i="6" s="1"/>
  <c r="L31" i="6" l="1"/>
  <c r="M31" i="6" s="1"/>
  <c r="M28" i="6"/>
  <c r="L28" i="6"/>
  <c r="M26" i="6"/>
  <c r="L26" i="6"/>
  <c r="M24" i="6"/>
  <c r="L24" i="6"/>
  <c r="M29" i="6"/>
  <c r="L29" i="6"/>
  <c r="M27" i="6"/>
  <c r="L27" i="6"/>
  <c r="M23" i="6"/>
  <c r="L23" i="6"/>
  <c r="J482" i="6" l="1"/>
  <c r="J481" i="6"/>
  <c r="G165" i="6"/>
  <c r="E627" i="14" l="1"/>
  <c r="J626" i="14"/>
  <c r="K626" i="14" s="1"/>
  <c r="M626" i="14" s="1"/>
  <c r="J625" i="14"/>
  <c r="K625" i="14" s="1"/>
  <c r="M625" i="14" s="1"/>
  <c r="J624" i="14"/>
  <c r="K624" i="14" s="1"/>
  <c r="M624" i="14" s="1"/>
  <c r="J623" i="14"/>
  <c r="K623" i="14" s="1"/>
  <c r="M623" i="14" s="1"/>
  <c r="J622" i="14"/>
  <c r="K622" i="14" s="1"/>
  <c r="M622" i="14" s="1"/>
  <c r="J621" i="14"/>
  <c r="K621" i="14" s="1"/>
  <c r="M621" i="14" s="1"/>
  <c r="J620" i="14"/>
  <c r="K620" i="14" s="1"/>
  <c r="M620" i="14" s="1"/>
  <c r="J619" i="14"/>
  <c r="K619" i="14" s="1"/>
  <c r="M619" i="14" s="1"/>
  <c r="J618" i="14"/>
  <c r="K618" i="14" s="1"/>
  <c r="M618" i="14" s="1"/>
  <c r="J617" i="14"/>
  <c r="K617" i="14" s="1"/>
  <c r="M617" i="14" s="1"/>
  <c r="J616" i="14"/>
  <c r="K616" i="14" s="1"/>
  <c r="M616" i="14" s="1"/>
  <c r="J615" i="14"/>
  <c r="K615" i="14" s="1"/>
  <c r="M615" i="14" s="1"/>
  <c r="J614" i="14"/>
  <c r="K614" i="14" s="1"/>
  <c r="M614" i="14" s="1"/>
  <c r="J613" i="14"/>
  <c r="K613" i="14" s="1"/>
  <c r="M613" i="14" s="1"/>
  <c r="J612" i="14"/>
  <c r="K612" i="14" s="1"/>
  <c r="M612" i="14" s="1"/>
  <c r="J611" i="14"/>
  <c r="K611" i="14" s="1"/>
  <c r="M611" i="14" s="1"/>
  <c r="J610" i="14"/>
  <c r="K610" i="14" s="1"/>
  <c r="M610" i="14" s="1"/>
  <c r="J609" i="14"/>
  <c r="K609" i="14" s="1"/>
  <c r="M609" i="14" s="1"/>
  <c r="J608" i="14"/>
  <c r="K608" i="14" s="1"/>
  <c r="M608" i="14" s="1"/>
  <c r="J607" i="14"/>
  <c r="K607" i="14" s="1"/>
  <c r="M607" i="14" s="1"/>
  <c r="J606" i="14"/>
  <c r="K606" i="14" s="1"/>
  <c r="M606" i="14" s="1"/>
  <c r="J605" i="14"/>
  <c r="K605" i="14" s="1"/>
  <c r="M605" i="14" s="1"/>
  <c r="J604" i="14"/>
  <c r="K604" i="14" s="1"/>
  <c r="M604" i="14" s="1"/>
  <c r="J603" i="14"/>
  <c r="K603" i="14" s="1"/>
  <c r="M603" i="14" s="1"/>
  <c r="J602" i="14"/>
  <c r="K602" i="14" s="1"/>
  <c r="M602" i="14" s="1"/>
  <c r="J601" i="14"/>
  <c r="K601" i="14" s="1"/>
  <c r="M601" i="14" s="1"/>
  <c r="J600" i="14"/>
  <c r="K600" i="14" s="1"/>
  <c r="M600" i="14" s="1"/>
  <c r="J599" i="14"/>
  <c r="K599" i="14" s="1"/>
  <c r="M599" i="14" s="1"/>
  <c r="J598" i="14"/>
  <c r="K598" i="14" s="1"/>
  <c r="M598" i="14" s="1"/>
  <c r="J597" i="14"/>
  <c r="K597" i="14" s="1"/>
  <c r="M597" i="14" s="1"/>
  <c r="J596" i="14"/>
  <c r="K596" i="14" s="1"/>
  <c r="M596" i="14" s="1"/>
  <c r="J595" i="14"/>
  <c r="K595" i="14" s="1"/>
  <c r="M595" i="14" s="1"/>
  <c r="J594" i="14"/>
  <c r="K594" i="14" s="1"/>
  <c r="M594" i="14" s="1"/>
  <c r="J593" i="14"/>
  <c r="K593" i="14" s="1"/>
  <c r="M593" i="14" s="1"/>
  <c r="J592" i="14"/>
  <c r="K592" i="14" s="1"/>
  <c r="M592" i="14" s="1"/>
  <c r="J591" i="14"/>
  <c r="K591" i="14" s="1"/>
  <c r="M591" i="14" s="1"/>
  <c r="J590" i="14"/>
  <c r="K590" i="14" s="1"/>
  <c r="M590" i="14" s="1"/>
  <c r="J589" i="14"/>
  <c r="K589" i="14" s="1"/>
  <c r="M589" i="14" s="1"/>
  <c r="J588" i="14"/>
  <c r="K588" i="14" s="1"/>
  <c r="M588" i="14" s="1"/>
  <c r="J587" i="14"/>
  <c r="K587" i="14" s="1"/>
  <c r="M587" i="14" s="1"/>
  <c r="J586" i="14"/>
  <c r="K586" i="14" s="1"/>
  <c r="M586" i="14" s="1"/>
  <c r="J585" i="14"/>
  <c r="K585" i="14" s="1"/>
  <c r="M585" i="14" s="1"/>
  <c r="J584" i="14"/>
  <c r="K584" i="14" s="1"/>
  <c r="M584" i="14" s="1"/>
  <c r="J583" i="14"/>
  <c r="K583" i="14" s="1"/>
  <c r="M583" i="14" s="1"/>
  <c r="J582" i="14"/>
  <c r="K582" i="14" s="1"/>
  <c r="M582" i="14" s="1"/>
  <c r="J581" i="14"/>
  <c r="K581" i="14" s="1"/>
  <c r="M581" i="14" s="1"/>
  <c r="J580" i="14"/>
  <c r="K580" i="14" s="1"/>
  <c r="M580" i="14" s="1"/>
  <c r="J579" i="14"/>
  <c r="K579" i="14" s="1"/>
  <c r="M579" i="14" s="1"/>
  <c r="J578" i="14"/>
  <c r="K578" i="14" s="1"/>
  <c r="M578" i="14" s="1"/>
  <c r="J577" i="14"/>
  <c r="K577" i="14" s="1"/>
  <c r="M577" i="14" s="1"/>
  <c r="J576" i="14"/>
  <c r="K576" i="14" s="1"/>
  <c r="M576" i="14" s="1"/>
  <c r="J575" i="14"/>
  <c r="K575" i="14" s="1"/>
  <c r="M575" i="14" s="1"/>
  <c r="J574" i="14"/>
  <c r="K574" i="14" s="1"/>
  <c r="M574" i="14" s="1"/>
  <c r="J573" i="14"/>
  <c r="K573" i="14" s="1"/>
  <c r="M573" i="14" s="1"/>
  <c r="J572" i="14"/>
  <c r="K572" i="14" s="1"/>
  <c r="M572" i="14" s="1"/>
  <c r="J571" i="14"/>
  <c r="K571" i="14" s="1"/>
  <c r="M571" i="14" s="1"/>
  <c r="J570" i="14"/>
  <c r="K570" i="14" s="1"/>
  <c r="M570" i="14" s="1"/>
  <c r="J569" i="14"/>
  <c r="K569" i="14" s="1"/>
  <c r="M569" i="14" s="1"/>
  <c r="J568" i="14"/>
  <c r="K568" i="14" s="1"/>
  <c r="M568" i="14" s="1"/>
  <c r="J567" i="14"/>
  <c r="K567" i="14" s="1"/>
  <c r="M567" i="14" s="1"/>
  <c r="J566" i="14"/>
  <c r="K566" i="14" s="1"/>
  <c r="M566" i="14" s="1"/>
  <c r="J565" i="14"/>
  <c r="K565" i="14" s="1"/>
  <c r="M565" i="14" s="1"/>
  <c r="J564" i="14"/>
  <c r="K564" i="14" s="1"/>
  <c r="M564" i="14" s="1"/>
  <c r="J563" i="14"/>
  <c r="K563" i="14" s="1"/>
  <c r="M563" i="14" s="1"/>
  <c r="J562" i="14"/>
  <c r="K562" i="14" s="1"/>
  <c r="M562" i="14" s="1"/>
  <c r="J561" i="14"/>
  <c r="K561" i="14" s="1"/>
  <c r="M561" i="14" s="1"/>
  <c r="J560" i="14"/>
  <c r="K560" i="14" s="1"/>
  <c r="M560" i="14" s="1"/>
  <c r="J559" i="14"/>
  <c r="K559" i="14" s="1"/>
  <c r="M559" i="14" s="1"/>
  <c r="J558" i="14"/>
  <c r="K558" i="14" s="1"/>
  <c r="M558" i="14" s="1"/>
  <c r="J557" i="14"/>
  <c r="K557" i="14" s="1"/>
  <c r="M557" i="14" s="1"/>
  <c r="J556" i="14"/>
  <c r="K556" i="14" s="1"/>
  <c r="M556" i="14" s="1"/>
  <c r="J555" i="14"/>
  <c r="K555" i="14" s="1"/>
  <c r="M555" i="14" s="1"/>
  <c r="J554" i="14"/>
  <c r="K554" i="14" s="1"/>
  <c r="M554" i="14" s="1"/>
  <c r="J553" i="14"/>
  <c r="K553" i="14" s="1"/>
  <c r="M553" i="14" s="1"/>
  <c r="J552" i="14"/>
  <c r="K552" i="14" s="1"/>
  <c r="M552" i="14" s="1"/>
  <c r="J551" i="14"/>
  <c r="K551" i="14" s="1"/>
  <c r="M551" i="14" s="1"/>
  <c r="J550" i="14"/>
  <c r="K550" i="14" s="1"/>
  <c r="M550" i="14" s="1"/>
  <c r="J549" i="14"/>
  <c r="K549" i="14" s="1"/>
  <c r="M549" i="14" s="1"/>
  <c r="J548" i="14"/>
  <c r="K548" i="14" s="1"/>
  <c r="M548" i="14" s="1"/>
  <c r="J547" i="14"/>
  <c r="K547" i="14" s="1"/>
  <c r="M547" i="14" s="1"/>
  <c r="J546" i="14"/>
  <c r="K546" i="14" s="1"/>
  <c r="M546" i="14" s="1"/>
  <c r="J545" i="14"/>
  <c r="K545" i="14" s="1"/>
  <c r="M545" i="14" s="1"/>
  <c r="J544" i="14"/>
  <c r="K544" i="14" s="1"/>
  <c r="M544" i="14" s="1"/>
  <c r="J543" i="14"/>
  <c r="K543" i="14" s="1"/>
  <c r="M543" i="14" s="1"/>
  <c r="J542" i="14"/>
  <c r="K542" i="14" s="1"/>
  <c r="M542" i="14" s="1"/>
  <c r="J541" i="14"/>
  <c r="K541" i="14" s="1"/>
  <c r="M541" i="14" s="1"/>
  <c r="J540" i="14"/>
  <c r="K540" i="14" s="1"/>
  <c r="M540" i="14" s="1"/>
  <c r="J539" i="14"/>
  <c r="K539" i="14" s="1"/>
  <c r="M539" i="14" s="1"/>
  <c r="J538" i="14"/>
  <c r="K538" i="14" s="1"/>
  <c r="M538" i="14" s="1"/>
  <c r="J537" i="14"/>
  <c r="K537" i="14" s="1"/>
  <c r="M537" i="14" s="1"/>
  <c r="J536" i="14"/>
  <c r="K536" i="14" s="1"/>
  <c r="M536" i="14" s="1"/>
  <c r="J535" i="14"/>
  <c r="K535" i="14" s="1"/>
  <c r="M535" i="14" s="1"/>
  <c r="J534" i="14"/>
  <c r="K534" i="14" s="1"/>
  <c r="M534" i="14" s="1"/>
  <c r="J533" i="14"/>
  <c r="K533" i="14" s="1"/>
  <c r="M533" i="14" s="1"/>
  <c r="J532" i="14"/>
  <c r="K532" i="14" s="1"/>
  <c r="M532" i="14" s="1"/>
  <c r="J531" i="14"/>
  <c r="K531" i="14" s="1"/>
  <c r="M531" i="14" s="1"/>
  <c r="J530" i="14"/>
  <c r="K530" i="14" s="1"/>
  <c r="M530" i="14" s="1"/>
  <c r="J529" i="14"/>
  <c r="K529" i="14" s="1"/>
  <c r="M529" i="14" s="1"/>
  <c r="J528" i="14"/>
  <c r="K528" i="14" s="1"/>
  <c r="M528" i="14" s="1"/>
  <c r="J527" i="14"/>
  <c r="K527" i="14" s="1"/>
  <c r="M527" i="14" s="1"/>
  <c r="J526" i="14"/>
  <c r="K526" i="14" s="1"/>
  <c r="M526" i="14" s="1"/>
  <c r="J525" i="14"/>
  <c r="K525" i="14" s="1"/>
  <c r="M525" i="14" s="1"/>
  <c r="J524" i="14"/>
  <c r="K524" i="14" s="1"/>
  <c r="M524" i="14" s="1"/>
  <c r="J523" i="14"/>
  <c r="K523" i="14" s="1"/>
  <c r="M523" i="14" s="1"/>
  <c r="J522" i="14"/>
  <c r="K522" i="14" s="1"/>
  <c r="M522" i="14" s="1"/>
  <c r="J521" i="14"/>
  <c r="K521" i="14" s="1"/>
  <c r="M521" i="14" s="1"/>
  <c r="J520" i="14"/>
  <c r="K520" i="14" s="1"/>
  <c r="M520" i="14" s="1"/>
  <c r="J519" i="14"/>
  <c r="K519" i="14" s="1"/>
  <c r="M519" i="14" s="1"/>
  <c r="J518" i="14"/>
  <c r="K518" i="14" s="1"/>
  <c r="M518" i="14" s="1"/>
  <c r="J517" i="14"/>
  <c r="K517" i="14" s="1"/>
  <c r="M517" i="14" s="1"/>
  <c r="J516" i="14"/>
  <c r="K516" i="14" s="1"/>
  <c r="M516" i="14" s="1"/>
  <c r="J515" i="14"/>
  <c r="K515" i="14" s="1"/>
  <c r="M515" i="14" s="1"/>
  <c r="J514" i="14"/>
  <c r="K514" i="14" s="1"/>
  <c r="M514" i="14" s="1"/>
  <c r="J513" i="14"/>
  <c r="K513" i="14" s="1"/>
  <c r="M513" i="14" s="1"/>
  <c r="K512" i="14"/>
  <c r="M512" i="14" s="1"/>
  <c r="J512" i="14"/>
  <c r="J511" i="14"/>
  <c r="K511" i="14" s="1"/>
  <c r="M511" i="14" s="1"/>
  <c r="J510" i="14"/>
  <c r="K510" i="14" s="1"/>
  <c r="M510" i="14" s="1"/>
  <c r="K509" i="14"/>
  <c r="M509" i="14" s="1"/>
  <c r="J509" i="14"/>
  <c r="K508" i="14"/>
  <c r="M508" i="14" s="1"/>
  <c r="J508" i="14"/>
  <c r="J507" i="14"/>
  <c r="K507" i="14" s="1"/>
  <c r="M507" i="14" s="1"/>
  <c r="J506" i="14"/>
  <c r="K506" i="14" s="1"/>
  <c r="M506" i="14" s="1"/>
  <c r="J505" i="14"/>
  <c r="K505" i="14" s="1"/>
  <c r="M505" i="14" s="1"/>
  <c r="J504" i="14"/>
  <c r="K504" i="14" s="1"/>
  <c r="M504" i="14" s="1"/>
  <c r="J503" i="14"/>
  <c r="K503" i="14" s="1"/>
  <c r="M503" i="14" s="1"/>
  <c r="K502" i="14"/>
  <c r="M502" i="14" s="1"/>
  <c r="J502" i="14"/>
  <c r="J501" i="14"/>
  <c r="K501" i="14" s="1"/>
  <c r="M501" i="14" s="1"/>
  <c r="J500" i="14"/>
  <c r="K500" i="14" s="1"/>
  <c r="M500" i="14" s="1"/>
  <c r="J499" i="14"/>
  <c r="K499" i="14" s="1"/>
  <c r="M499" i="14" s="1"/>
  <c r="J498" i="14"/>
  <c r="K498" i="14" s="1"/>
  <c r="M498" i="14" s="1"/>
  <c r="K497" i="14"/>
  <c r="M497" i="14" s="1"/>
  <c r="J497" i="14"/>
  <c r="J496" i="14"/>
  <c r="K496" i="14" s="1"/>
  <c r="M496" i="14" s="1"/>
  <c r="J495" i="14"/>
  <c r="K495" i="14" s="1"/>
  <c r="M495" i="14" s="1"/>
  <c r="J494" i="14"/>
  <c r="K494" i="14" s="1"/>
  <c r="L494" i="14" s="1"/>
  <c r="J493" i="14"/>
  <c r="K493" i="14" s="1"/>
  <c r="M493" i="14" s="1"/>
  <c r="J492" i="14"/>
  <c r="K492" i="14" s="1"/>
  <c r="M492" i="14" s="1"/>
  <c r="J491" i="14"/>
  <c r="K491" i="14" s="1"/>
  <c r="M491" i="14" s="1"/>
  <c r="J490" i="14"/>
  <c r="K490" i="14" s="1"/>
  <c r="M490" i="14" s="1"/>
  <c r="J489" i="14"/>
  <c r="K489" i="14" s="1"/>
  <c r="M489" i="14" s="1"/>
  <c r="K488" i="14"/>
  <c r="M488" i="14" s="1"/>
  <c r="J488" i="14"/>
  <c r="J487" i="14"/>
  <c r="K487" i="14" s="1"/>
  <c r="M487" i="14" s="1"/>
  <c r="J486" i="14"/>
  <c r="K486" i="14" s="1"/>
  <c r="M486" i="14" s="1"/>
  <c r="J485" i="14"/>
  <c r="K485" i="14" s="1"/>
  <c r="M485" i="14" s="1"/>
  <c r="J484" i="14"/>
  <c r="K484" i="14" s="1"/>
  <c r="M484" i="14" s="1"/>
  <c r="J483" i="14"/>
  <c r="K483" i="14" s="1"/>
  <c r="M483" i="14" s="1"/>
  <c r="J482" i="14"/>
  <c r="K482" i="14" s="1"/>
  <c r="M482" i="14" s="1"/>
  <c r="K481" i="14"/>
  <c r="M481" i="14" s="1"/>
  <c r="J481" i="14"/>
  <c r="K480" i="14"/>
  <c r="M480" i="14" s="1"/>
  <c r="J480" i="14"/>
  <c r="J479" i="14"/>
  <c r="K479" i="14" s="1"/>
  <c r="M479" i="14" s="1"/>
  <c r="J478" i="14"/>
  <c r="K478" i="14" s="1"/>
  <c r="M478" i="14" s="1"/>
  <c r="J477" i="14"/>
  <c r="K477" i="14" s="1"/>
  <c r="M477" i="14" s="1"/>
  <c r="J476" i="14"/>
  <c r="K476" i="14" s="1"/>
  <c r="M476" i="14" s="1"/>
  <c r="K475" i="14"/>
  <c r="M475" i="14" s="1"/>
  <c r="J475" i="14"/>
  <c r="J474" i="14"/>
  <c r="K474" i="14" s="1"/>
  <c r="M474" i="14" s="1"/>
  <c r="J473" i="14"/>
  <c r="K473" i="14" s="1"/>
  <c r="M473" i="14" s="1"/>
  <c r="J472" i="14"/>
  <c r="K472" i="14" s="1"/>
  <c r="M472" i="14" s="1"/>
  <c r="K471" i="14"/>
  <c r="M471" i="14" s="1"/>
  <c r="J471" i="14"/>
  <c r="K470" i="14"/>
  <c r="M470" i="14" s="1"/>
  <c r="J470" i="14"/>
  <c r="J469" i="14"/>
  <c r="K469" i="14" s="1"/>
  <c r="M469" i="14" s="1"/>
  <c r="J468" i="14"/>
  <c r="K468" i="14" s="1"/>
  <c r="M468" i="14" s="1"/>
  <c r="K467" i="14"/>
  <c r="M467" i="14" s="1"/>
  <c r="J467" i="14"/>
  <c r="J466" i="14"/>
  <c r="K466" i="14" s="1"/>
  <c r="M466" i="14" s="1"/>
  <c r="J465" i="14"/>
  <c r="K465" i="14" s="1"/>
  <c r="M465" i="14" s="1"/>
  <c r="K464" i="14"/>
  <c r="M464" i="14" s="1"/>
  <c r="J464" i="14"/>
  <c r="J463" i="14"/>
  <c r="K463" i="14" s="1"/>
  <c r="M463" i="14" s="1"/>
  <c r="J462" i="14"/>
  <c r="K462" i="14" s="1"/>
  <c r="M462" i="14" s="1"/>
  <c r="J461" i="14"/>
  <c r="K461" i="14" s="1"/>
  <c r="M461" i="14" s="1"/>
  <c r="K460" i="14"/>
  <c r="M460" i="14" s="1"/>
  <c r="J460" i="14"/>
  <c r="J459" i="14"/>
  <c r="K459" i="14" s="1"/>
  <c r="M459" i="14" s="1"/>
  <c r="J458" i="14"/>
  <c r="K458" i="14" s="1"/>
  <c r="M458" i="14" s="1"/>
  <c r="J457" i="14"/>
  <c r="K457" i="14" s="1"/>
  <c r="M457" i="14" s="1"/>
  <c r="J456" i="14"/>
  <c r="K456" i="14" s="1"/>
  <c r="M456" i="14" s="1"/>
  <c r="J455" i="14"/>
  <c r="K455" i="14" s="1"/>
  <c r="M455" i="14" s="1"/>
  <c r="J454" i="14"/>
  <c r="K454" i="14" s="1"/>
  <c r="M454" i="14" s="1"/>
  <c r="K453" i="14"/>
  <c r="L453" i="14" s="1"/>
  <c r="J453" i="14"/>
  <c r="J452" i="14"/>
  <c r="K452" i="14" s="1"/>
  <c r="J451" i="14"/>
  <c r="K451" i="14" s="1"/>
  <c r="M451" i="14" s="1"/>
  <c r="J450" i="14"/>
  <c r="K450" i="14" s="1"/>
  <c r="M450" i="14" s="1"/>
  <c r="J449" i="14"/>
  <c r="K449" i="14" s="1"/>
  <c r="M449" i="14" s="1"/>
  <c r="J448" i="14"/>
  <c r="K448" i="14" s="1"/>
  <c r="M448" i="14" s="1"/>
  <c r="J447" i="14"/>
  <c r="K447" i="14" s="1"/>
  <c r="M447" i="14" s="1"/>
  <c r="K446" i="14"/>
  <c r="M446" i="14" s="1"/>
  <c r="J446" i="14"/>
  <c r="J445" i="14"/>
  <c r="K445" i="14" s="1"/>
  <c r="M445" i="14" s="1"/>
  <c r="J444" i="14"/>
  <c r="K444" i="14" s="1"/>
  <c r="M444" i="14" s="1"/>
  <c r="J443" i="14"/>
  <c r="K443" i="14" s="1"/>
  <c r="M443" i="14" s="1"/>
  <c r="K442" i="14"/>
  <c r="M442" i="14" s="1"/>
  <c r="J442" i="14"/>
  <c r="J441" i="14"/>
  <c r="K441" i="14" s="1"/>
  <c r="M441" i="14" s="1"/>
  <c r="J440" i="14"/>
  <c r="K440" i="14" s="1"/>
  <c r="M440" i="14" s="1"/>
  <c r="J439" i="14"/>
  <c r="K439" i="14" s="1"/>
  <c r="M439" i="14" s="1"/>
  <c r="J438" i="14"/>
  <c r="K438" i="14" s="1"/>
  <c r="M438" i="14" s="1"/>
  <c r="K437" i="14"/>
  <c r="M437" i="14" s="1"/>
  <c r="J437" i="14"/>
  <c r="K436" i="14"/>
  <c r="M436" i="14" s="1"/>
  <c r="J436" i="14"/>
  <c r="J435" i="14"/>
  <c r="K435" i="14" s="1"/>
  <c r="M435" i="14" s="1"/>
  <c r="J434" i="14"/>
  <c r="K434" i="14" s="1"/>
  <c r="M434" i="14" s="1"/>
  <c r="J433" i="14"/>
  <c r="K433" i="14" s="1"/>
  <c r="M433" i="14" s="1"/>
  <c r="J432" i="14"/>
  <c r="K432" i="14" s="1"/>
  <c r="M432" i="14" s="1"/>
  <c r="J431" i="14"/>
  <c r="K431" i="14" s="1"/>
  <c r="M431" i="14" s="1"/>
  <c r="J430" i="14"/>
  <c r="K430" i="14" s="1"/>
  <c r="J429" i="14"/>
  <c r="K429" i="14" s="1"/>
  <c r="L429" i="14" s="1"/>
  <c r="J428" i="14"/>
  <c r="K428" i="14" s="1"/>
  <c r="M428" i="14" s="1"/>
  <c r="J427" i="14"/>
  <c r="K427" i="14" s="1"/>
  <c r="M427" i="14" s="1"/>
  <c r="J426" i="14"/>
  <c r="K426" i="14" s="1"/>
  <c r="M426" i="14" s="1"/>
  <c r="J425" i="14"/>
  <c r="K425" i="14" s="1"/>
  <c r="M425" i="14" s="1"/>
  <c r="J424" i="14"/>
  <c r="K424" i="14" s="1"/>
  <c r="M424" i="14" s="1"/>
  <c r="J423" i="14"/>
  <c r="K423" i="14" s="1"/>
  <c r="M423" i="14" s="1"/>
  <c r="J422" i="14"/>
  <c r="K422" i="14" s="1"/>
  <c r="M422" i="14" s="1"/>
  <c r="J421" i="14"/>
  <c r="K421" i="14" s="1"/>
  <c r="M421" i="14" s="1"/>
  <c r="J420" i="14"/>
  <c r="K420" i="14" s="1"/>
  <c r="M420" i="14" s="1"/>
  <c r="J419" i="14"/>
  <c r="K419" i="14" s="1"/>
  <c r="M419" i="14" s="1"/>
  <c r="J418" i="14"/>
  <c r="K418" i="14" s="1"/>
  <c r="M418" i="14" s="1"/>
  <c r="J417" i="14"/>
  <c r="K417" i="14" s="1"/>
  <c r="M417" i="14" s="1"/>
  <c r="J416" i="14"/>
  <c r="K416" i="14" s="1"/>
  <c r="M416" i="14" s="1"/>
  <c r="J415" i="14"/>
  <c r="K415" i="14" s="1"/>
  <c r="M415" i="14" s="1"/>
  <c r="J414" i="14"/>
  <c r="K414" i="14" s="1"/>
  <c r="M414" i="14" s="1"/>
  <c r="J413" i="14"/>
  <c r="K413" i="14" s="1"/>
  <c r="M413" i="14" s="1"/>
  <c r="J412" i="14"/>
  <c r="K412" i="14" s="1"/>
  <c r="M412" i="14" s="1"/>
  <c r="J411" i="14"/>
  <c r="K411" i="14" s="1"/>
  <c r="M411" i="14" s="1"/>
  <c r="J410" i="14"/>
  <c r="K410" i="14" s="1"/>
  <c r="M410" i="14" s="1"/>
  <c r="J409" i="14"/>
  <c r="K409" i="14" s="1"/>
  <c r="M409" i="14" s="1"/>
  <c r="J408" i="14"/>
  <c r="K408" i="14" s="1"/>
  <c r="M408" i="14" s="1"/>
  <c r="J407" i="14"/>
  <c r="K407" i="14" s="1"/>
  <c r="M407" i="14" s="1"/>
  <c r="J406" i="14"/>
  <c r="K406" i="14" s="1"/>
  <c r="M406" i="14" s="1"/>
  <c r="J405" i="14"/>
  <c r="K405" i="14" s="1"/>
  <c r="M405" i="14" s="1"/>
  <c r="J404" i="14"/>
  <c r="K404" i="14" s="1"/>
  <c r="M404" i="14" s="1"/>
  <c r="J403" i="14"/>
  <c r="K403" i="14" s="1"/>
  <c r="M403" i="14" s="1"/>
  <c r="J402" i="14"/>
  <c r="K402" i="14" s="1"/>
  <c r="J401" i="14"/>
  <c r="K401" i="14" s="1"/>
  <c r="L401" i="14" s="1"/>
  <c r="J400" i="14"/>
  <c r="K400" i="14" s="1"/>
  <c r="J399" i="14"/>
  <c r="K399" i="14" s="1"/>
  <c r="L399" i="14" s="1"/>
  <c r="J398" i="14"/>
  <c r="K398" i="14" s="1"/>
  <c r="J397" i="14"/>
  <c r="K397" i="14" s="1"/>
  <c r="L397" i="14" s="1"/>
  <c r="J396" i="14"/>
  <c r="K396" i="14" s="1"/>
  <c r="M396" i="14" s="1"/>
  <c r="J395" i="14"/>
  <c r="K395" i="14" s="1"/>
  <c r="M395" i="14" s="1"/>
  <c r="J394" i="14"/>
  <c r="K394" i="14" s="1"/>
  <c r="M394" i="14" s="1"/>
  <c r="J393" i="14"/>
  <c r="K393" i="14" s="1"/>
  <c r="M393" i="14" s="1"/>
  <c r="J392" i="14"/>
  <c r="K392" i="14" s="1"/>
  <c r="M392" i="14" s="1"/>
  <c r="J391" i="14"/>
  <c r="K391" i="14" s="1"/>
  <c r="L391" i="14" s="1"/>
  <c r="K390" i="14"/>
  <c r="L390" i="14" s="1"/>
  <c r="J390" i="14"/>
  <c r="J389" i="14"/>
  <c r="K389" i="14" s="1"/>
  <c r="L389" i="14" s="1"/>
  <c r="K388" i="14"/>
  <c r="L388" i="14" s="1"/>
  <c r="J388" i="14"/>
  <c r="K387" i="14"/>
  <c r="L387" i="14" s="1"/>
  <c r="J387" i="14"/>
  <c r="K386" i="14"/>
  <c r="L386" i="14" s="1"/>
  <c r="J386" i="14"/>
  <c r="J385" i="14"/>
  <c r="K385" i="14" s="1"/>
  <c r="J384" i="14"/>
  <c r="K384" i="14" s="1"/>
  <c r="M384" i="14" s="1"/>
  <c r="J383" i="14"/>
  <c r="K383" i="14" s="1"/>
  <c r="M383" i="14" s="1"/>
  <c r="J382" i="14"/>
  <c r="K382" i="14" s="1"/>
  <c r="M382" i="14" s="1"/>
  <c r="K381" i="14"/>
  <c r="M381" i="14" s="1"/>
  <c r="J381" i="14"/>
  <c r="J380" i="14"/>
  <c r="K380" i="14" s="1"/>
  <c r="M380" i="14" s="1"/>
  <c r="J379" i="14"/>
  <c r="K379" i="14" s="1"/>
  <c r="M379" i="14" s="1"/>
  <c r="J378" i="14"/>
  <c r="K378" i="14" s="1"/>
  <c r="K377" i="14"/>
  <c r="L377" i="14" s="1"/>
  <c r="J377" i="14"/>
  <c r="J376" i="14"/>
  <c r="K376" i="14" s="1"/>
  <c r="M376" i="14" s="1"/>
  <c r="K375" i="14"/>
  <c r="L375" i="14" s="1"/>
  <c r="J375" i="14"/>
  <c r="J374" i="14"/>
  <c r="K374" i="14" s="1"/>
  <c r="K373" i="14"/>
  <c r="L373" i="14" s="1"/>
  <c r="J373" i="14"/>
  <c r="J372" i="14"/>
  <c r="K372" i="14" s="1"/>
  <c r="J371" i="14"/>
  <c r="K371" i="14" s="1"/>
  <c r="M371" i="14" s="1"/>
  <c r="K370" i="14"/>
  <c r="L370" i="14" s="1"/>
  <c r="J370" i="14"/>
  <c r="J369" i="14"/>
  <c r="K369" i="14" s="1"/>
  <c r="J368" i="14"/>
  <c r="K368" i="14" s="1"/>
  <c r="M368" i="14" s="1"/>
  <c r="K367" i="14"/>
  <c r="M367" i="14" s="1"/>
  <c r="J367" i="14"/>
  <c r="J366" i="14"/>
  <c r="K366" i="14" s="1"/>
  <c r="M366" i="14" s="1"/>
  <c r="J365" i="14"/>
  <c r="K365" i="14" s="1"/>
  <c r="M365" i="14" s="1"/>
  <c r="K364" i="14"/>
  <c r="M364" i="14" s="1"/>
  <c r="J364" i="14"/>
  <c r="J363" i="14"/>
  <c r="K363" i="14" s="1"/>
  <c r="M363" i="14" s="1"/>
  <c r="J362" i="14"/>
  <c r="K362" i="14" s="1"/>
  <c r="M362" i="14" s="1"/>
  <c r="J361" i="14"/>
  <c r="K361" i="14" s="1"/>
  <c r="M361" i="14" s="1"/>
  <c r="K360" i="14"/>
  <c r="M360" i="14" s="1"/>
  <c r="J360" i="14"/>
  <c r="J359" i="14"/>
  <c r="K359" i="14" s="1"/>
  <c r="M359" i="14" s="1"/>
  <c r="J358" i="14"/>
  <c r="K358" i="14" s="1"/>
  <c r="M358" i="14" s="1"/>
  <c r="J357" i="14"/>
  <c r="K357" i="14" s="1"/>
  <c r="J356" i="14"/>
  <c r="K356" i="14" s="1"/>
  <c r="M356" i="14" s="1"/>
  <c r="J355" i="14"/>
  <c r="K355" i="14" s="1"/>
  <c r="M355" i="14" s="1"/>
  <c r="J354" i="14"/>
  <c r="K354" i="14" s="1"/>
  <c r="M354" i="14" s="1"/>
  <c r="K353" i="14"/>
  <c r="M353" i="14" s="1"/>
  <c r="J353" i="14"/>
  <c r="J352" i="14"/>
  <c r="K352" i="14" s="1"/>
  <c r="M352" i="14" s="1"/>
  <c r="K351" i="14"/>
  <c r="M351" i="14" s="1"/>
  <c r="J351" i="14"/>
  <c r="K350" i="14"/>
  <c r="M350" i="14" s="1"/>
  <c r="J350" i="14"/>
  <c r="J349" i="14"/>
  <c r="K349" i="14" s="1"/>
  <c r="M349" i="14" s="1"/>
  <c r="J348" i="14"/>
  <c r="K348" i="14" s="1"/>
  <c r="M348" i="14" s="1"/>
  <c r="J347" i="14"/>
  <c r="K347" i="14" s="1"/>
  <c r="M347" i="14" s="1"/>
  <c r="J346" i="14"/>
  <c r="K346" i="14" s="1"/>
  <c r="M346" i="14" s="1"/>
  <c r="J345" i="14"/>
  <c r="K345" i="14" s="1"/>
  <c r="M345" i="14" s="1"/>
  <c r="J344" i="14"/>
  <c r="K344" i="14" s="1"/>
  <c r="M344" i="14" s="1"/>
  <c r="K343" i="14"/>
  <c r="J343" i="14"/>
  <c r="K342" i="14"/>
  <c r="L342" i="14" s="1"/>
  <c r="J342" i="14"/>
  <c r="J341" i="14"/>
  <c r="K341" i="14" s="1"/>
  <c r="L341" i="14" s="1"/>
  <c r="J340" i="14"/>
  <c r="K340" i="14" s="1"/>
  <c r="M340" i="14" s="1"/>
  <c r="K339" i="14"/>
  <c r="M339" i="14" s="1"/>
  <c r="J339" i="14"/>
  <c r="K338" i="14"/>
  <c r="M338" i="14" s="1"/>
  <c r="J338" i="14"/>
  <c r="J337" i="14"/>
  <c r="K337" i="14" s="1"/>
  <c r="M337" i="14" s="1"/>
  <c r="J336" i="14"/>
  <c r="K336" i="14" s="1"/>
  <c r="M336" i="14" s="1"/>
  <c r="J335" i="14"/>
  <c r="K335" i="14" s="1"/>
  <c r="L335" i="14" s="1"/>
  <c r="J334" i="14"/>
  <c r="K334" i="14" s="1"/>
  <c r="M334" i="14" s="1"/>
  <c r="J333" i="14"/>
  <c r="K333" i="14" s="1"/>
  <c r="J332" i="14"/>
  <c r="K332" i="14" s="1"/>
  <c r="M332" i="14" s="1"/>
  <c r="J331" i="14"/>
  <c r="K331" i="14" s="1"/>
  <c r="M331" i="14" s="1"/>
  <c r="J330" i="14"/>
  <c r="K330" i="14" s="1"/>
  <c r="M330" i="14" s="1"/>
  <c r="K329" i="14"/>
  <c r="M329" i="14" s="1"/>
  <c r="J329" i="14"/>
  <c r="K328" i="14"/>
  <c r="M328" i="14" s="1"/>
  <c r="J328" i="14"/>
  <c r="J327" i="14"/>
  <c r="K327" i="14" s="1"/>
  <c r="M327" i="14" s="1"/>
  <c r="K326" i="14"/>
  <c r="M326" i="14" s="1"/>
  <c r="J326" i="14"/>
  <c r="J325" i="14"/>
  <c r="K325" i="14" s="1"/>
  <c r="M325" i="14" s="1"/>
  <c r="J324" i="14"/>
  <c r="K324" i="14" s="1"/>
  <c r="M324" i="14" s="1"/>
  <c r="J323" i="14"/>
  <c r="K323" i="14" s="1"/>
  <c r="M323" i="14" s="1"/>
  <c r="J322" i="14"/>
  <c r="K322" i="14" s="1"/>
  <c r="M322" i="14" s="1"/>
  <c r="J321" i="14"/>
  <c r="K321" i="14" s="1"/>
  <c r="M321" i="14" s="1"/>
  <c r="J320" i="14"/>
  <c r="K320" i="14" s="1"/>
  <c r="M320" i="14" s="1"/>
  <c r="J319" i="14"/>
  <c r="K319" i="14" s="1"/>
  <c r="M319" i="14" s="1"/>
  <c r="J318" i="14"/>
  <c r="K318" i="14" s="1"/>
  <c r="M318" i="14" s="1"/>
  <c r="J317" i="14"/>
  <c r="K317" i="14" s="1"/>
  <c r="M317" i="14" s="1"/>
  <c r="J316" i="14"/>
  <c r="K316" i="14" s="1"/>
  <c r="M316" i="14" s="1"/>
  <c r="J315" i="14"/>
  <c r="K315" i="14" s="1"/>
  <c r="M315" i="14" s="1"/>
  <c r="J314" i="14"/>
  <c r="K314" i="14" s="1"/>
  <c r="M314" i="14" s="1"/>
  <c r="J313" i="14"/>
  <c r="K313" i="14" s="1"/>
  <c r="J312" i="14"/>
  <c r="K312" i="14" s="1"/>
  <c r="M312" i="14" s="1"/>
  <c r="K311" i="14"/>
  <c r="M311" i="14" s="1"/>
  <c r="J311" i="14"/>
  <c r="K310" i="14"/>
  <c r="M310" i="14" s="1"/>
  <c r="J310" i="14"/>
  <c r="J309" i="14"/>
  <c r="K309" i="14" s="1"/>
  <c r="M309" i="14" s="1"/>
  <c r="J308" i="14"/>
  <c r="K308" i="14" s="1"/>
  <c r="M308" i="14" s="1"/>
  <c r="J307" i="14"/>
  <c r="K307" i="14" s="1"/>
  <c r="M307" i="14" s="1"/>
  <c r="K306" i="14"/>
  <c r="M306" i="14" s="1"/>
  <c r="J306" i="14"/>
  <c r="K305" i="14"/>
  <c r="M305" i="14" s="1"/>
  <c r="J305" i="14"/>
  <c r="J304" i="14"/>
  <c r="K304" i="14" s="1"/>
  <c r="M304" i="14" s="1"/>
  <c r="K303" i="14"/>
  <c r="M303" i="14" s="1"/>
  <c r="J303" i="14"/>
  <c r="K302" i="14"/>
  <c r="M302" i="14" s="1"/>
  <c r="J302" i="14"/>
  <c r="J301" i="14"/>
  <c r="K301" i="14" s="1"/>
  <c r="M301" i="14" s="1"/>
  <c r="J300" i="14"/>
  <c r="K300" i="14" s="1"/>
  <c r="M300" i="14" s="1"/>
  <c r="J299" i="14"/>
  <c r="K299" i="14" s="1"/>
  <c r="M299" i="14" s="1"/>
  <c r="J298" i="14"/>
  <c r="K298" i="14" s="1"/>
  <c r="M298" i="14" s="1"/>
  <c r="J297" i="14"/>
  <c r="K297" i="14" s="1"/>
  <c r="M297" i="14" s="1"/>
  <c r="J296" i="14"/>
  <c r="K296" i="14" s="1"/>
  <c r="M296" i="14" s="1"/>
  <c r="K295" i="14"/>
  <c r="M295" i="14" s="1"/>
  <c r="J295" i="14"/>
  <c r="J294" i="14"/>
  <c r="K294" i="14" s="1"/>
  <c r="M294" i="14" s="1"/>
  <c r="J293" i="14"/>
  <c r="K293" i="14" s="1"/>
  <c r="M293" i="14" s="1"/>
  <c r="J292" i="14"/>
  <c r="K292" i="14" s="1"/>
  <c r="M292" i="14" s="1"/>
  <c r="J291" i="14"/>
  <c r="K291" i="14" s="1"/>
  <c r="M291" i="14" s="1"/>
  <c r="J290" i="14"/>
  <c r="K290" i="14" s="1"/>
  <c r="M290" i="14" s="1"/>
  <c r="J289" i="14"/>
  <c r="K289" i="14" s="1"/>
  <c r="M289" i="14" s="1"/>
  <c r="J288" i="14"/>
  <c r="K288" i="14" s="1"/>
  <c r="M288" i="14" s="1"/>
  <c r="J287" i="14"/>
  <c r="K287" i="14" s="1"/>
  <c r="M287" i="14" s="1"/>
  <c r="J286" i="14"/>
  <c r="K286" i="14" s="1"/>
  <c r="M286" i="14" s="1"/>
  <c r="J285" i="14"/>
  <c r="K285" i="14" s="1"/>
  <c r="M285" i="14" s="1"/>
  <c r="J284" i="14"/>
  <c r="K284" i="14" s="1"/>
  <c r="M284" i="14" s="1"/>
  <c r="J283" i="14"/>
  <c r="K283" i="14" s="1"/>
  <c r="M283" i="14" s="1"/>
  <c r="J282" i="14"/>
  <c r="K282" i="14" s="1"/>
  <c r="M282" i="14" s="1"/>
  <c r="J281" i="14"/>
  <c r="K281" i="14" s="1"/>
  <c r="M281" i="14" s="1"/>
  <c r="J280" i="14"/>
  <c r="K280" i="14" s="1"/>
  <c r="M280" i="14" s="1"/>
  <c r="J279" i="14"/>
  <c r="K279" i="14" s="1"/>
  <c r="M279" i="14" s="1"/>
  <c r="J278" i="14"/>
  <c r="K278" i="14" s="1"/>
  <c r="L278" i="14" s="1"/>
  <c r="J277" i="14"/>
  <c r="K277" i="14" s="1"/>
  <c r="L277" i="14" s="1"/>
  <c r="J276" i="14"/>
  <c r="K276" i="14" s="1"/>
  <c r="M276" i="14" s="1"/>
  <c r="J275" i="14"/>
  <c r="K275" i="14" s="1"/>
  <c r="L275" i="14" s="1"/>
  <c r="J274" i="14"/>
  <c r="K274" i="14" s="1"/>
  <c r="J273" i="14"/>
  <c r="K273" i="14" s="1"/>
  <c r="L273" i="14" s="1"/>
  <c r="J272" i="14"/>
  <c r="K272" i="14" s="1"/>
  <c r="L272" i="14" s="1"/>
  <c r="J271" i="14"/>
  <c r="K271" i="14" s="1"/>
  <c r="M271" i="14" s="1"/>
  <c r="J270" i="14"/>
  <c r="K270" i="14" s="1"/>
  <c r="L270" i="14" s="1"/>
  <c r="J269" i="14"/>
  <c r="K269" i="14" s="1"/>
  <c r="L269" i="14" s="1"/>
  <c r="J268" i="14"/>
  <c r="K268" i="14" s="1"/>
  <c r="M268" i="14" s="1"/>
  <c r="J267" i="14"/>
  <c r="K267" i="14" s="1"/>
  <c r="M267" i="14" s="1"/>
  <c r="J266" i="14"/>
  <c r="K266" i="14" s="1"/>
  <c r="M266" i="14" s="1"/>
  <c r="J265" i="14"/>
  <c r="K265" i="14" s="1"/>
  <c r="M265" i="14" s="1"/>
  <c r="J264" i="14"/>
  <c r="K264" i="14" s="1"/>
  <c r="M264" i="14" s="1"/>
  <c r="J263" i="14"/>
  <c r="K263" i="14" s="1"/>
  <c r="L263" i="14" s="1"/>
  <c r="J262" i="14"/>
  <c r="K262" i="14" s="1"/>
  <c r="L262" i="14" s="1"/>
  <c r="J261" i="14"/>
  <c r="K261" i="14" s="1"/>
  <c r="M261" i="14" s="1"/>
  <c r="J260" i="14"/>
  <c r="K260" i="14" s="1"/>
  <c r="L260" i="14" s="1"/>
  <c r="J259" i="14"/>
  <c r="K259" i="14" s="1"/>
  <c r="L259" i="14" s="1"/>
  <c r="J258" i="14"/>
  <c r="K258" i="14" s="1"/>
  <c r="M258" i="14" s="1"/>
  <c r="J257" i="14"/>
  <c r="K257" i="14" s="1"/>
  <c r="M257" i="14" s="1"/>
  <c r="J256" i="14"/>
  <c r="K256" i="14" s="1"/>
  <c r="M256" i="14" s="1"/>
  <c r="J255" i="14"/>
  <c r="K255" i="14" s="1"/>
  <c r="M255" i="14" s="1"/>
  <c r="J254" i="14"/>
  <c r="K254" i="14" s="1"/>
  <c r="L254" i="14" s="1"/>
  <c r="J253" i="14"/>
  <c r="K253" i="14" s="1"/>
  <c r="M253" i="14" s="1"/>
  <c r="J252" i="14"/>
  <c r="K252" i="14" s="1"/>
  <c r="M252" i="14" s="1"/>
  <c r="J251" i="14"/>
  <c r="K251" i="14" s="1"/>
  <c r="M251" i="14" s="1"/>
  <c r="J250" i="14"/>
  <c r="K250" i="14" s="1"/>
  <c r="M250" i="14" s="1"/>
  <c r="J249" i="14"/>
  <c r="K249" i="14" s="1"/>
  <c r="M249" i="14" s="1"/>
  <c r="J248" i="14"/>
  <c r="K248" i="14" s="1"/>
  <c r="M248" i="14" s="1"/>
  <c r="J247" i="14"/>
  <c r="K247" i="14" s="1"/>
  <c r="M247" i="14" s="1"/>
  <c r="J246" i="14"/>
  <c r="K246" i="14" s="1"/>
  <c r="M246" i="14" s="1"/>
  <c r="J245" i="14"/>
  <c r="K245" i="14" s="1"/>
  <c r="M245" i="14" s="1"/>
  <c r="J244" i="14"/>
  <c r="K244" i="14" s="1"/>
  <c r="M244" i="14" s="1"/>
  <c r="J243" i="14"/>
  <c r="K243" i="14" s="1"/>
  <c r="M243" i="14" s="1"/>
  <c r="J242" i="14"/>
  <c r="K242" i="14" s="1"/>
  <c r="M242" i="14" s="1"/>
  <c r="J241" i="14"/>
  <c r="K241" i="14" s="1"/>
  <c r="M241" i="14" s="1"/>
  <c r="J240" i="14"/>
  <c r="K240" i="14" s="1"/>
  <c r="M240" i="14" s="1"/>
  <c r="J239" i="14"/>
  <c r="K239" i="14" s="1"/>
  <c r="M239" i="14" s="1"/>
  <c r="J238" i="14"/>
  <c r="K238" i="14" s="1"/>
  <c r="M238" i="14" s="1"/>
  <c r="J237" i="14"/>
  <c r="K237" i="14" s="1"/>
  <c r="M237" i="14" s="1"/>
  <c r="J236" i="14"/>
  <c r="K236" i="14" s="1"/>
  <c r="M236" i="14" s="1"/>
  <c r="J235" i="14"/>
  <c r="K235" i="14" s="1"/>
  <c r="M235" i="14" s="1"/>
  <c r="J234" i="14"/>
  <c r="K234" i="14" s="1"/>
  <c r="M234" i="14" s="1"/>
  <c r="J233" i="14"/>
  <c r="K233" i="14" s="1"/>
  <c r="M233" i="14" s="1"/>
  <c r="J232" i="14"/>
  <c r="K232" i="14" s="1"/>
  <c r="M232" i="14" s="1"/>
  <c r="J231" i="14"/>
  <c r="K231" i="14" s="1"/>
  <c r="M231" i="14" s="1"/>
  <c r="J230" i="14"/>
  <c r="K230" i="14" s="1"/>
  <c r="M230" i="14" s="1"/>
  <c r="J229" i="14"/>
  <c r="K229" i="14" s="1"/>
  <c r="M229" i="14" s="1"/>
  <c r="J228" i="14"/>
  <c r="K228" i="14" s="1"/>
  <c r="M228" i="14" s="1"/>
  <c r="J227" i="14"/>
  <c r="K227" i="14" s="1"/>
  <c r="M227" i="14" s="1"/>
  <c r="J226" i="14"/>
  <c r="K226" i="14" s="1"/>
  <c r="M226" i="14" s="1"/>
  <c r="J225" i="14"/>
  <c r="K225" i="14" s="1"/>
  <c r="M225" i="14" s="1"/>
  <c r="J224" i="14"/>
  <c r="K224" i="14" s="1"/>
  <c r="M224" i="14" s="1"/>
  <c r="J223" i="14"/>
  <c r="K223" i="14" s="1"/>
  <c r="M223" i="14" s="1"/>
  <c r="J222" i="14"/>
  <c r="K222" i="14" s="1"/>
  <c r="M222" i="14" s="1"/>
  <c r="J221" i="14"/>
  <c r="K221" i="14" s="1"/>
  <c r="M221" i="14" s="1"/>
  <c r="J220" i="14"/>
  <c r="K220" i="14" s="1"/>
  <c r="M220" i="14" s="1"/>
  <c r="J219" i="14"/>
  <c r="K219" i="14" s="1"/>
  <c r="M219" i="14" s="1"/>
  <c r="J218" i="14"/>
  <c r="K218" i="14" s="1"/>
  <c r="M218" i="14" s="1"/>
  <c r="J217" i="14"/>
  <c r="K217" i="14" s="1"/>
  <c r="M217" i="14" s="1"/>
  <c r="J216" i="14"/>
  <c r="K216" i="14" s="1"/>
  <c r="M216" i="14" s="1"/>
  <c r="J215" i="14"/>
  <c r="K215" i="14" s="1"/>
  <c r="M215" i="14" s="1"/>
  <c r="J214" i="14"/>
  <c r="K214" i="14" s="1"/>
  <c r="M214" i="14" s="1"/>
  <c r="J213" i="14"/>
  <c r="K213" i="14" s="1"/>
  <c r="M213" i="14" s="1"/>
  <c r="J212" i="14"/>
  <c r="K212" i="14" s="1"/>
  <c r="M212" i="14" s="1"/>
  <c r="J211" i="14"/>
  <c r="K211" i="14" s="1"/>
  <c r="M211" i="14" s="1"/>
  <c r="J210" i="14"/>
  <c r="K210" i="14" s="1"/>
  <c r="M210" i="14" s="1"/>
  <c r="J209" i="14"/>
  <c r="K209" i="14" s="1"/>
  <c r="M209" i="14" s="1"/>
  <c r="J208" i="14"/>
  <c r="K208" i="14" s="1"/>
  <c r="M208" i="14" s="1"/>
  <c r="J207" i="14"/>
  <c r="K207" i="14" s="1"/>
  <c r="M207" i="14" s="1"/>
  <c r="J206" i="14"/>
  <c r="K206" i="14" s="1"/>
  <c r="M206" i="14" s="1"/>
  <c r="J205" i="14"/>
  <c r="K205" i="14" s="1"/>
  <c r="M205" i="14" s="1"/>
  <c r="J204" i="14"/>
  <c r="K204" i="14" s="1"/>
  <c r="L204" i="14" s="1"/>
  <c r="J203" i="14"/>
  <c r="K203" i="14" s="1"/>
  <c r="L203" i="14" s="1"/>
  <c r="J202" i="14"/>
  <c r="K202" i="14" s="1"/>
  <c r="J201" i="14"/>
  <c r="K201" i="14" s="1"/>
  <c r="M201" i="14" s="1"/>
  <c r="J200" i="14"/>
  <c r="K200" i="14" s="1"/>
  <c r="M200" i="14" s="1"/>
  <c r="J199" i="14"/>
  <c r="K199" i="14" s="1"/>
  <c r="M199" i="14" s="1"/>
  <c r="J198" i="14"/>
  <c r="K198" i="14" s="1"/>
  <c r="M198" i="14" s="1"/>
  <c r="J197" i="14"/>
  <c r="K197" i="14" s="1"/>
  <c r="M197" i="14" s="1"/>
  <c r="J196" i="14"/>
  <c r="K196" i="14" s="1"/>
  <c r="M196" i="14" s="1"/>
  <c r="J195" i="14"/>
  <c r="K195" i="14" s="1"/>
  <c r="M195" i="14" s="1"/>
  <c r="J194" i="14"/>
  <c r="K194" i="14" s="1"/>
  <c r="M194" i="14" s="1"/>
  <c r="J193" i="14"/>
  <c r="K193" i="14" s="1"/>
  <c r="M193" i="14" s="1"/>
  <c r="J192" i="14"/>
  <c r="K192" i="14" s="1"/>
  <c r="M192" i="14" s="1"/>
  <c r="N191" i="14"/>
  <c r="J191" i="14"/>
  <c r="K191" i="14" s="1"/>
  <c r="M191" i="14" s="1"/>
  <c r="J190" i="14"/>
  <c r="K190" i="14" s="1"/>
  <c r="M190" i="14" s="1"/>
  <c r="J189" i="14"/>
  <c r="K189" i="14" s="1"/>
  <c r="M189" i="14" s="1"/>
  <c r="J188" i="14"/>
  <c r="K188" i="14" s="1"/>
  <c r="M188" i="14" s="1"/>
  <c r="J187" i="14"/>
  <c r="K187" i="14" s="1"/>
  <c r="J186" i="14"/>
  <c r="K186" i="14" s="1"/>
  <c r="L186" i="14" s="1"/>
  <c r="J185" i="14"/>
  <c r="K185" i="14" s="1"/>
  <c r="M185" i="14" s="1"/>
  <c r="J184" i="14"/>
  <c r="K184" i="14" s="1"/>
  <c r="L184" i="14" s="1"/>
  <c r="J183" i="14"/>
  <c r="K183" i="14" s="1"/>
  <c r="L183" i="14" s="1"/>
  <c r="J182" i="14"/>
  <c r="K182" i="14" s="1"/>
  <c r="J181" i="14"/>
  <c r="K181" i="14" s="1"/>
  <c r="M181" i="14" s="1"/>
  <c r="J180" i="14"/>
  <c r="K180" i="14" s="1"/>
  <c r="M180" i="14" s="1"/>
  <c r="J179" i="14"/>
  <c r="K179" i="14" s="1"/>
  <c r="M179" i="14" s="1"/>
  <c r="J178" i="14"/>
  <c r="K178" i="14" s="1"/>
  <c r="L178" i="14" s="1"/>
  <c r="J177" i="14"/>
  <c r="K177" i="14" s="1"/>
  <c r="J176" i="14"/>
  <c r="K176" i="14" s="1"/>
  <c r="M176" i="14" s="1"/>
  <c r="J175" i="14"/>
  <c r="K175" i="14" s="1"/>
  <c r="M175" i="14" s="1"/>
  <c r="J174" i="14"/>
  <c r="K174" i="14" s="1"/>
  <c r="M174" i="14" s="1"/>
  <c r="J173" i="14"/>
  <c r="K173" i="14" s="1"/>
  <c r="M173" i="14" s="1"/>
  <c r="J172" i="14"/>
  <c r="K172" i="14" s="1"/>
  <c r="M172" i="14" s="1"/>
  <c r="J171" i="14"/>
  <c r="K171" i="14" s="1"/>
  <c r="L171" i="14" s="1"/>
  <c r="J170" i="14"/>
  <c r="K170" i="14" s="1"/>
  <c r="L170" i="14" s="1"/>
  <c r="J169" i="14"/>
  <c r="K169" i="14" s="1"/>
  <c r="L169" i="14" s="1"/>
  <c r="J168" i="14"/>
  <c r="K168" i="14" s="1"/>
  <c r="M168" i="14" s="1"/>
  <c r="J167" i="14"/>
  <c r="K167" i="14" s="1"/>
  <c r="M167" i="14" s="1"/>
  <c r="J166" i="14"/>
  <c r="K166" i="14" s="1"/>
  <c r="M166" i="14" s="1"/>
  <c r="J165" i="14"/>
  <c r="K165" i="14" s="1"/>
  <c r="M165" i="14" s="1"/>
  <c r="J164" i="14"/>
  <c r="K164" i="14" s="1"/>
  <c r="M164" i="14" s="1"/>
  <c r="J163" i="14"/>
  <c r="K163" i="14" s="1"/>
  <c r="M163" i="14" s="1"/>
  <c r="J162" i="14"/>
  <c r="K162" i="14" s="1"/>
  <c r="M162" i="14" s="1"/>
  <c r="J161" i="14"/>
  <c r="K161" i="14" s="1"/>
  <c r="M161" i="14" s="1"/>
  <c r="J160" i="14"/>
  <c r="K160" i="14" s="1"/>
  <c r="M160" i="14" s="1"/>
  <c r="J159" i="14"/>
  <c r="K159" i="14" s="1"/>
  <c r="M159" i="14" s="1"/>
  <c r="J158" i="14"/>
  <c r="K158" i="14" s="1"/>
  <c r="J157" i="14"/>
  <c r="K157" i="14" s="1"/>
  <c r="L157" i="14" s="1"/>
  <c r="J156" i="14"/>
  <c r="K156" i="14" s="1"/>
  <c r="M156" i="14" s="1"/>
  <c r="J155" i="14"/>
  <c r="K155" i="14" s="1"/>
  <c r="J154" i="14"/>
  <c r="K154" i="14" s="1"/>
  <c r="L154" i="14" s="1"/>
  <c r="J153" i="14"/>
  <c r="K153" i="14" s="1"/>
  <c r="L153" i="14" s="1"/>
  <c r="J152" i="14"/>
  <c r="K152" i="14" s="1"/>
  <c r="M152" i="14" s="1"/>
  <c r="G151" i="14"/>
  <c r="J150" i="14"/>
  <c r="K150" i="14" s="1"/>
  <c r="M150" i="14" s="1"/>
  <c r="J149" i="14"/>
  <c r="K149" i="14" s="1"/>
  <c r="M149" i="14" s="1"/>
  <c r="J148" i="14"/>
  <c r="K148" i="14" s="1"/>
  <c r="M148" i="14" s="1"/>
  <c r="J147" i="14"/>
  <c r="K147" i="14" s="1"/>
  <c r="M147" i="14" s="1"/>
  <c r="J146" i="14"/>
  <c r="K146" i="14" s="1"/>
  <c r="M146" i="14" s="1"/>
  <c r="J145" i="14"/>
  <c r="K145" i="14" s="1"/>
  <c r="M145" i="14" s="1"/>
  <c r="J144" i="14"/>
  <c r="K144" i="14" s="1"/>
  <c r="M144" i="14" s="1"/>
  <c r="J143" i="14"/>
  <c r="K143" i="14" s="1"/>
  <c r="L143" i="14" s="1"/>
  <c r="J142" i="14"/>
  <c r="K142" i="14" s="1"/>
  <c r="L142" i="14" s="1"/>
  <c r="J141" i="14"/>
  <c r="K141" i="14" s="1"/>
  <c r="J140" i="14"/>
  <c r="K140" i="14" s="1"/>
  <c r="L140" i="14" s="1"/>
  <c r="J139" i="14"/>
  <c r="K139" i="14" s="1"/>
  <c r="M139" i="14" s="1"/>
  <c r="J138" i="14"/>
  <c r="K138" i="14" s="1"/>
  <c r="M138" i="14" s="1"/>
  <c r="J137" i="14"/>
  <c r="K137" i="14" s="1"/>
  <c r="M137" i="14" s="1"/>
  <c r="J136" i="14"/>
  <c r="K136" i="14" s="1"/>
  <c r="M136" i="14" s="1"/>
  <c r="J135" i="14"/>
  <c r="K135" i="14" s="1"/>
  <c r="M135" i="14" s="1"/>
  <c r="J134" i="14"/>
  <c r="K134" i="14" s="1"/>
  <c r="M134" i="14" s="1"/>
  <c r="J133" i="14"/>
  <c r="K133" i="14" s="1"/>
  <c r="M133" i="14" s="1"/>
  <c r="J132" i="14"/>
  <c r="K132" i="14" s="1"/>
  <c r="L132" i="14" s="1"/>
  <c r="J131" i="14"/>
  <c r="K131" i="14" s="1"/>
  <c r="L131" i="14" s="1"/>
  <c r="J130" i="14"/>
  <c r="K130" i="14" s="1"/>
  <c r="M130" i="14" s="1"/>
  <c r="J129" i="14"/>
  <c r="K129" i="14" s="1"/>
  <c r="M129" i="14" s="1"/>
  <c r="J128" i="14"/>
  <c r="K128" i="14" s="1"/>
  <c r="M128" i="14" s="1"/>
  <c r="J127" i="14"/>
  <c r="K127" i="14" s="1"/>
  <c r="M127" i="14" s="1"/>
  <c r="J126" i="14"/>
  <c r="K126" i="14" s="1"/>
  <c r="M126" i="14" s="1"/>
  <c r="J125" i="14"/>
  <c r="K125" i="14" s="1"/>
  <c r="M125" i="14" s="1"/>
  <c r="J124" i="14"/>
  <c r="K124" i="14" s="1"/>
  <c r="M124" i="14" s="1"/>
  <c r="J123" i="14"/>
  <c r="K123" i="14" s="1"/>
  <c r="M123" i="14" s="1"/>
  <c r="J122" i="14"/>
  <c r="K122" i="14" s="1"/>
  <c r="M122" i="14" s="1"/>
  <c r="J121" i="14"/>
  <c r="K121" i="14" s="1"/>
  <c r="M121" i="14" s="1"/>
  <c r="J120" i="14"/>
  <c r="K120" i="14" s="1"/>
  <c r="M120" i="14" s="1"/>
  <c r="J119" i="14"/>
  <c r="K119" i="14" s="1"/>
  <c r="M119" i="14" s="1"/>
  <c r="J118" i="14"/>
  <c r="K118" i="14" s="1"/>
  <c r="M118" i="14" s="1"/>
  <c r="J117" i="14"/>
  <c r="K117" i="14" s="1"/>
  <c r="M117" i="14" s="1"/>
  <c r="J116" i="14"/>
  <c r="K116" i="14" s="1"/>
  <c r="M116" i="14" s="1"/>
  <c r="J115" i="14"/>
  <c r="K115" i="14" s="1"/>
  <c r="M115" i="14" s="1"/>
  <c r="J114" i="14"/>
  <c r="K114" i="14" s="1"/>
  <c r="M114" i="14" s="1"/>
  <c r="J113" i="14"/>
  <c r="K113" i="14" s="1"/>
  <c r="M113" i="14" s="1"/>
  <c r="J112" i="14"/>
  <c r="K112" i="14" s="1"/>
  <c r="M112" i="14" s="1"/>
  <c r="J111" i="14"/>
  <c r="K111" i="14" s="1"/>
  <c r="M111" i="14" s="1"/>
  <c r="J110" i="14"/>
  <c r="K110" i="14" s="1"/>
  <c r="M110" i="14" s="1"/>
  <c r="J109" i="14"/>
  <c r="K109" i="14" s="1"/>
  <c r="M109" i="14" s="1"/>
  <c r="J108" i="14"/>
  <c r="K108" i="14" s="1"/>
  <c r="M108" i="14" s="1"/>
  <c r="J107" i="14"/>
  <c r="K107" i="14" s="1"/>
  <c r="M107" i="14" s="1"/>
  <c r="J106" i="14"/>
  <c r="K106" i="14" s="1"/>
  <c r="M106" i="14" s="1"/>
  <c r="J105" i="14"/>
  <c r="K105" i="14" s="1"/>
  <c r="M105" i="14" s="1"/>
  <c r="J104" i="14"/>
  <c r="K104" i="14" s="1"/>
  <c r="M104" i="14" s="1"/>
  <c r="J103" i="14"/>
  <c r="K103" i="14" s="1"/>
  <c r="M103" i="14" s="1"/>
  <c r="J102" i="14"/>
  <c r="K102" i="14" s="1"/>
  <c r="M102" i="14" s="1"/>
  <c r="J101" i="14"/>
  <c r="K101" i="14" s="1"/>
  <c r="M101" i="14" s="1"/>
  <c r="J100" i="14"/>
  <c r="K100" i="14" s="1"/>
  <c r="M100" i="14" s="1"/>
  <c r="J99" i="14"/>
  <c r="K99" i="14" s="1"/>
  <c r="M99" i="14" s="1"/>
  <c r="J98" i="14"/>
  <c r="K98" i="14" s="1"/>
  <c r="M98" i="14" s="1"/>
  <c r="J97" i="14"/>
  <c r="K97" i="14" s="1"/>
  <c r="M97" i="14" s="1"/>
  <c r="J96" i="14"/>
  <c r="K96" i="14" s="1"/>
  <c r="L96" i="14" s="1"/>
  <c r="J95" i="14"/>
  <c r="K95" i="14" s="1"/>
  <c r="J94" i="14"/>
  <c r="K94" i="14" s="1"/>
  <c r="L94" i="14" s="1"/>
  <c r="J93" i="14"/>
  <c r="K93" i="14" s="1"/>
  <c r="M93" i="14" s="1"/>
  <c r="J92" i="14"/>
  <c r="K92" i="14" s="1"/>
  <c r="M92" i="14" s="1"/>
  <c r="J91" i="14"/>
  <c r="K91" i="14" s="1"/>
  <c r="M91" i="14" s="1"/>
  <c r="J90" i="14"/>
  <c r="K90" i="14" s="1"/>
  <c r="M90" i="14" s="1"/>
  <c r="J89" i="14"/>
  <c r="K89" i="14" s="1"/>
  <c r="M89" i="14" s="1"/>
  <c r="J88" i="14"/>
  <c r="K88" i="14" s="1"/>
  <c r="M88" i="14" s="1"/>
  <c r="J87" i="14"/>
  <c r="K87" i="14" s="1"/>
  <c r="M87" i="14" s="1"/>
  <c r="J86" i="14"/>
  <c r="K86" i="14" s="1"/>
  <c r="M86" i="14" s="1"/>
  <c r="J85" i="14"/>
  <c r="K85" i="14" s="1"/>
  <c r="M85" i="14" s="1"/>
  <c r="J84" i="14"/>
  <c r="K84" i="14" s="1"/>
  <c r="M84" i="14" s="1"/>
  <c r="J83" i="14"/>
  <c r="K83" i="14" s="1"/>
  <c r="M83" i="14" s="1"/>
  <c r="J82" i="14"/>
  <c r="K82" i="14" s="1"/>
  <c r="M82" i="14" s="1"/>
  <c r="J81" i="14"/>
  <c r="K81" i="14" s="1"/>
  <c r="M81" i="14" s="1"/>
  <c r="J80" i="14"/>
  <c r="K80" i="14" s="1"/>
  <c r="M80" i="14" s="1"/>
  <c r="J79" i="14"/>
  <c r="K79" i="14" s="1"/>
  <c r="M79" i="14" s="1"/>
  <c r="J78" i="14"/>
  <c r="K78" i="14" s="1"/>
  <c r="J77" i="14"/>
  <c r="K77" i="14" s="1"/>
  <c r="M77" i="14" s="1"/>
  <c r="J76" i="14"/>
  <c r="K76" i="14" s="1"/>
  <c r="M76" i="14" s="1"/>
  <c r="J75" i="14"/>
  <c r="K75" i="14" s="1"/>
  <c r="M75" i="14" s="1"/>
  <c r="J74" i="14"/>
  <c r="K74" i="14" s="1"/>
  <c r="M74" i="14" s="1"/>
  <c r="J73" i="14"/>
  <c r="K73" i="14" s="1"/>
  <c r="M73" i="14" s="1"/>
  <c r="J72" i="14"/>
  <c r="K72" i="14" s="1"/>
  <c r="M72" i="14" s="1"/>
  <c r="J71" i="14"/>
  <c r="K71" i="14" s="1"/>
  <c r="M71" i="14" s="1"/>
  <c r="J70" i="14"/>
  <c r="K70" i="14" s="1"/>
  <c r="M70" i="14" s="1"/>
  <c r="J69" i="14"/>
  <c r="K69" i="14" s="1"/>
  <c r="M69" i="14" s="1"/>
  <c r="J68" i="14"/>
  <c r="K68" i="14" s="1"/>
  <c r="L68" i="14" s="1"/>
  <c r="J67" i="14"/>
  <c r="K67" i="14" s="1"/>
  <c r="M67" i="14" s="1"/>
  <c r="J66" i="14"/>
  <c r="K66" i="14" s="1"/>
  <c r="M66" i="14" s="1"/>
  <c r="J65" i="14"/>
  <c r="K65" i="14" s="1"/>
  <c r="M65" i="14" s="1"/>
  <c r="J64" i="14"/>
  <c r="K64" i="14" s="1"/>
  <c r="M64" i="14" s="1"/>
  <c r="J63" i="14"/>
  <c r="K63" i="14" s="1"/>
  <c r="M63" i="14" s="1"/>
  <c r="J62" i="14"/>
  <c r="K62" i="14" s="1"/>
  <c r="L62" i="14" s="1"/>
  <c r="J61" i="14"/>
  <c r="K61" i="14" s="1"/>
  <c r="M61" i="14" s="1"/>
  <c r="J60" i="14"/>
  <c r="K60" i="14" s="1"/>
  <c r="L60" i="14" s="1"/>
  <c r="J59" i="14"/>
  <c r="K59" i="14" s="1"/>
  <c r="M59" i="14" s="1"/>
  <c r="J58" i="14"/>
  <c r="K58" i="14" s="1"/>
  <c r="M58" i="14" s="1"/>
  <c r="J57" i="14"/>
  <c r="K57" i="14" s="1"/>
  <c r="M57" i="14" s="1"/>
  <c r="J56" i="14"/>
  <c r="K56" i="14" s="1"/>
  <c r="J55" i="14"/>
  <c r="K55" i="14" s="1"/>
  <c r="M55" i="14" s="1"/>
  <c r="J54" i="14"/>
  <c r="K54" i="14" s="1"/>
  <c r="M54" i="14" s="1"/>
  <c r="J53" i="14"/>
  <c r="K53" i="14" s="1"/>
  <c r="M53" i="14" s="1"/>
  <c r="J52" i="14"/>
  <c r="K52" i="14" s="1"/>
  <c r="M52" i="14" s="1"/>
  <c r="J51" i="14"/>
  <c r="K51" i="14" s="1"/>
  <c r="M51" i="14" s="1"/>
  <c r="J50" i="14"/>
  <c r="K50" i="14" s="1"/>
  <c r="L50" i="14" s="1"/>
  <c r="J49" i="14"/>
  <c r="K49" i="14" s="1"/>
  <c r="J48" i="14"/>
  <c r="K48" i="14" s="1"/>
  <c r="L48" i="14" s="1"/>
  <c r="J47" i="14"/>
  <c r="K47" i="14" s="1"/>
  <c r="M47" i="14" s="1"/>
  <c r="J46" i="14"/>
  <c r="K46" i="14" s="1"/>
  <c r="L46" i="14" s="1"/>
  <c r="J45" i="14"/>
  <c r="K45" i="14" s="1"/>
  <c r="L45" i="14" s="1"/>
  <c r="J44" i="14"/>
  <c r="K44" i="14" s="1"/>
  <c r="M44" i="14" s="1"/>
  <c r="J43" i="14"/>
  <c r="K43" i="14" s="1"/>
  <c r="L43" i="14" s="1"/>
  <c r="J42" i="14"/>
  <c r="K42" i="14" s="1"/>
  <c r="L42" i="14" s="1"/>
  <c r="J41" i="14"/>
  <c r="K41" i="14" s="1"/>
  <c r="M41" i="14" s="1"/>
  <c r="J40" i="14"/>
  <c r="K40" i="14" s="1"/>
  <c r="L40" i="14" s="1"/>
  <c r="J39" i="14"/>
  <c r="K39" i="14" s="1"/>
  <c r="L39" i="14" s="1"/>
  <c r="J38" i="14"/>
  <c r="K38" i="14" s="1"/>
  <c r="M38" i="14" s="1"/>
  <c r="J37" i="14"/>
  <c r="K37" i="14" s="1"/>
  <c r="L37" i="14" s="1"/>
  <c r="J36" i="14"/>
  <c r="K36" i="14" s="1"/>
  <c r="L36" i="14" s="1"/>
  <c r="J35" i="14"/>
  <c r="K35" i="14" s="1"/>
  <c r="L35" i="14" s="1"/>
  <c r="J34" i="14"/>
  <c r="K34" i="14" s="1"/>
  <c r="J33" i="14"/>
  <c r="K33" i="14" s="1"/>
  <c r="L33" i="14" s="1"/>
  <c r="J32" i="14"/>
  <c r="K32" i="14" s="1"/>
  <c r="L32" i="14" s="1"/>
  <c r="J31" i="14"/>
  <c r="K31" i="14" s="1"/>
  <c r="J30" i="14"/>
  <c r="K30" i="14" s="1"/>
  <c r="L30" i="14" s="1"/>
  <c r="J29" i="14"/>
  <c r="K29" i="14" s="1"/>
  <c r="J28" i="14"/>
  <c r="K28" i="14" s="1"/>
  <c r="L28" i="14" s="1"/>
  <c r="J27" i="14"/>
  <c r="K27" i="14" s="1"/>
  <c r="J26" i="14"/>
  <c r="K26" i="14" s="1"/>
  <c r="L26" i="14" s="1"/>
  <c r="J25" i="14"/>
  <c r="K25" i="14" s="1"/>
  <c r="J24" i="14"/>
  <c r="K24" i="14" s="1"/>
  <c r="J23" i="14"/>
  <c r="K23" i="14" s="1"/>
  <c r="L23" i="14" s="1"/>
  <c r="J22" i="14"/>
  <c r="K22" i="14" s="1"/>
  <c r="M22" i="14" s="1"/>
  <c r="J21" i="14"/>
  <c r="K21" i="14" s="1"/>
  <c r="M21" i="14" s="1"/>
  <c r="J20" i="14"/>
  <c r="K20" i="14" s="1"/>
  <c r="M20" i="14" s="1"/>
  <c r="J19" i="14"/>
  <c r="K19" i="14" s="1"/>
  <c r="M19" i="14" s="1"/>
  <c r="J18" i="14"/>
  <c r="J17" i="14"/>
  <c r="K17" i="14" s="1"/>
  <c r="M17" i="14" s="1"/>
  <c r="K16" i="14"/>
  <c r="M16" i="14" s="1"/>
  <c r="J16" i="14"/>
  <c r="J15" i="14"/>
  <c r="K15" i="14" s="1"/>
  <c r="M15" i="14" s="1"/>
  <c r="J14" i="14"/>
  <c r="K14" i="14" s="1"/>
  <c r="M14" i="14" s="1"/>
  <c r="J13" i="14"/>
  <c r="K13" i="14" s="1"/>
  <c r="M13" i="14" s="1"/>
  <c r="J12" i="14"/>
  <c r="K12" i="14" s="1"/>
  <c r="M12" i="14" s="1"/>
  <c r="J11" i="14"/>
  <c r="K11" i="14" s="1"/>
  <c r="M11" i="14" s="1"/>
  <c r="J10" i="14"/>
  <c r="K10" i="14" s="1"/>
  <c r="M10" i="14" s="1"/>
  <c r="J9" i="14"/>
  <c r="K9" i="14" s="1"/>
  <c r="M9" i="14" s="1"/>
  <c r="J8" i="14"/>
  <c r="K8" i="14" s="1"/>
  <c r="M8" i="14" s="1"/>
  <c r="J7" i="14"/>
  <c r="K7" i="14" s="1"/>
  <c r="M7" i="14" s="1"/>
  <c r="J6" i="14"/>
  <c r="K6" i="14" s="1"/>
  <c r="M6" i="14" s="1"/>
  <c r="J5" i="14"/>
  <c r="K5" i="14" s="1"/>
  <c r="M5" i="14" s="1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J4" i="14"/>
  <c r="K4" i="14" s="1"/>
  <c r="E627" i="6"/>
  <c r="M390" i="14" l="1"/>
  <c r="M342" i="14"/>
  <c r="L313" i="14"/>
  <c r="M313" i="14" s="1"/>
  <c r="L378" i="14"/>
  <c r="M378" i="14" s="1"/>
  <c r="L357" i="14"/>
  <c r="M357" i="14" s="1"/>
  <c r="M4" i="14"/>
  <c r="M335" i="14"/>
  <c r="L343" i="14"/>
  <c r="M343" i="14" s="1"/>
  <c r="M388" i="14"/>
  <c r="L95" i="14"/>
  <c r="M95" i="14" s="1"/>
  <c r="L155" i="14"/>
  <c r="M155" i="14" s="1"/>
  <c r="L24" i="14"/>
  <c r="M24" i="14" s="1"/>
  <c r="L34" i="14"/>
  <c r="M34" i="14" s="1"/>
  <c r="L49" i="14"/>
  <c r="M49" i="14" s="1"/>
  <c r="L141" i="14"/>
  <c r="M141" i="14" s="1"/>
  <c r="L25" i="14"/>
  <c r="M25" i="14" s="1"/>
  <c r="M36" i="14"/>
  <c r="M48" i="14"/>
  <c r="M60" i="14"/>
  <c r="M94" i="14"/>
  <c r="M143" i="14"/>
  <c r="M154" i="14"/>
  <c r="M157" i="14"/>
  <c r="L158" i="14"/>
  <c r="M158" i="14" s="1"/>
  <c r="M170" i="14"/>
  <c r="L187" i="14"/>
  <c r="M187" i="14" s="1"/>
  <c r="L274" i="14"/>
  <c r="M274" i="14" s="1"/>
  <c r="M184" i="14"/>
  <c r="M204" i="14"/>
  <c r="M254" i="14"/>
  <c r="M23" i="14"/>
  <c r="M26" i="14"/>
  <c r="L27" i="14"/>
  <c r="M27" i="14" s="1"/>
  <c r="M28" i="14"/>
  <c r="L29" i="14"/>
  <c r="M29" i="14" s="1"/>
  <c r="M30" i="14"/>
  <c r="L31" i="14"/>
  <c r="M31" i="14" s="1"/>
  <c r="M32" i="14"/>
  <c r="M33" i="14"/>
  <c r="M35" i="14"/>
  <c r="M37" i="14"/>
  <c r="M39" i="14"/>
  <c r="M40" i="14"/>
  <c r="M42" i="14"/>
  <c r="M43" i="14"/>
  <c r="M45" i="14"/>
  <c r="M50" i="14"/>
  <c r="L56" i="14"/>
  <c r="M62" i="14"/>
  <c r="M68" i="14"/>
  <c r="L78" i="14"/>
  <c r="M78" i="14" s="1"/>
  <c r="M96" i="14"/>
  <c r="M132" i="14"/>
  <c r="M140" i="14"/>
  <c r="M142" i="14"/>
  <c r="J151" i="14"/>
  <c r="K151" i="14" s="1"/>
  <c r="M151" i="14" s="1"/>
  <c r="M153" i="14"/>
  <c r="L177" i="14"/>
  <c r="M177" i="14" s="1"/>
  <c r="L182" i="14"/>
  <c r="M182" i="14" s="1"/>
  <c r="L202" i="14"/>
  <c r="M202" i="14" s="1"/>
  <c r="K18" i="14"/>
  <c r="M18" i="14" s="1"/>
  <c r="M46" i="14"/>
  <c r="M131" i="14"/>
  <c r="M169" i="14"/>
  <c r="M178" i="14"/>
  <c r="M203" i="14"/>
  <c r="M171" i="14"/>
  <c r="M183" i="14"/>
  <c r="M186" i="14"/>
  <c r="M259" i="14"/>
  <c r="M260" i="14"/>
  <c r="M262" i="14"/>
  <c r="M263" i="14"/>
  <c r="M269" i="14"/>
  <c r="M270" i="14"/>
  <c r="M272" i="14"/>
  <c r="M273" i="14"/>
  <c r="M275" i="14"/>
  <c r="M277" i="14"/>
  <c r="M278" i="14"/>
  <c r="L333" i="14"/>
  <c r="M333" i="14" s="1"/>
  <c r="M341" i="14"/>
  <c r="L369" i="14"/>
  <c r="M369" i="14" s="1"/>
  <c r="M370" i="14"/>
  <c r="L372" i="14"/>
  <c r="M372" i="14" s="1"/>
  <c r="M373" i="14"/>
  <c r="L374" i="14"/>
  <c r="M374" i="14" s="1"/>
  <c r="M375" i="14"/>
  <c r="M377" i="14"/>
  <c r="L385" i="14"/>
  <c r="M385" i="14" s="1"/>
  <c r="M386" i="14"/>
  <c r="M387" i="14"/>
  <c r="M389" i="14"/>
  <c r="M391" i="14"/>
  <c r="M397" i="14"/>
  <c r="L398" i="14"/>
  <c r="M398" i="14" s="1"/>
  <c r="M399" i="14"/>
  <c r="L400" i="14"/>
  <c r="M400" i="14" s="1"/>
  <c r="M401" i="14"/>
  <c r="L402" i="14"/>
  <c r="M402" i="14" s="1"/>
  <c r="M429" i="14"/>
  <c r="L430" i="14"/>
  <c r="M430" i="14" s="1"/>
  <c r="L452" i="14"/>
  <c r="M452" i="14" s="1"/>
  <c r="M453" i="14"/>
  <c r="M494" i="14"/>
  <c r="F10" i="11"/>
  <c r="F9" i="11"/>
  <c r="F11" i="11"/>
  <c r="F12" i="11" s="1"/>
  <c r="F13" i="11" s="1"/>
  <c r="F14" i="11" s="1"/>
  <c r="K2" i="14" l="1"/>
  <c r="J627" i="14"/>
  <c r="L627" i="14"/>
  <c r="K627" i="14"/>
  <c r="L2" i="14"/>
  <c r="M56" i="14"/>
  <c r="M627" i="14" s="1"/>
  <c r="M2" i="14" l="1"/>
  <c r="G151" i="6"/>
  <c r="J477" i="6" l="1"/>
  <c r="K477" i="6" s="1"/>
  <c r="M477" i="6" s="1"/>
  <c r="J10" i="10"/>
  <c r="E12" i="13"/>
  <c r="D12" i="13"/>
  <c r="I12" i="13" s="1"/>
  <c r="A5" i="13"/>
  <c r="A6" i="13" s="1"/>
  <c r="A7" i="13" s="1"/>
  <c r="A8" i="13" s="1"/>
  <c r="A9" i="13" s="1"/>
  <c r="A10" i="13" s="1"/>
  <c r="A11" i="13" s="1"/>
  <c r="F4" i="13"/>
  <c r="F5" i="13" s="1"/>
  <c r="F6" i="13" s="1"/>
  <c r="F7" i="13" s="1"/>
  <c r="F8" i="13" s="1"/>
  <c r="F9" i="13" s="1"/>
  <c r="F10" i="13" s="1"/>
  <c r="F11" i="13" s="1"/>
  <c r="F12" i="13" s="1"/>
  <c r="E22" i="10" l="1"/>
  <c r="D22" i="10"/>
  <c r="E35" i="5"/>
  <c r="D35" i="5"/>
  <c r="F5" i="5"/>
  <c r="F4" i="5"/>
  <c r="I35" i="5"/>
  <c r="H35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J476" i="6"/>
  <c r="K476" i="6" s="1"/>
  <c r="M476" i="6" s="1"/>
  <c r="J513" i="6"/>
  <c r="K513" i="6" s="1"/>
  <c r="M513" i="6" s="1"/>
  <c r="I12" i="12" l="1"/>
  <c r="A10" i="12"/>
  <c r="F10" i="12"/>
  <c r="E12" i="12"/>
  <c r="D12" i="12"/>
  <c r="A5" i="12"/>
  <c r="A6" i="12" s="1"/>
  <c r="A7" i="12" s="1"/>
  <c r="A8" i="12" s="1"/>
  <c r="A9" i="12" s="1"/>
  <c r="A11" i="12" s="1"/>
  <c r="F4" i="12"/>
  <c r="F5" i="12" s="1"/>
  <c r="F6" i="12" s="1"/>
  <c r="F7" i="12" s="1"/>
  <c r="F8" i="12" s="1"/>
  <c r="F9" i="12" s="1"/>
  <c r="F11" i="12" s="1"/>
  <c r="F12" i="12" s="1"/>
  <c r="A16" i="11"/>
  <c r="E18" i="11"/>
  <c r="D18" i="1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7" i="11" s="1"/>
  <c r="F4" i="11"/>
  <c r="F5" i="11" s="1"/>
  <c r="F6" i="11" s="1"/>
  <c r="F7" i="11" s="1"/>
  <c r="F8" i="11" s="1"/>
  <c r="F15" i="11" s="1"/>
  <c r="J363" i="6"/>
  <c r="K363" i="6" s="1"/>
  <c r="M363" i="6" s="1"/>
  <c r="J364" i="6"/>
  <c r="K364" i="6" s="1"/>
  <c r="M364" i="6" s="1"/>
  <c r="F16" i="11" l="1"/>
  <c r="F17" i="11" s="1"/>
  <c r="F18" i="11" s="1"/>
  <c r="I18" i="11"/>
  <c r="A15" i="10"/>
  <c r="A16" i="10"/>
  <c r="I22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7" i="10" s="1"/>
  <c r="A18" i="10" s="1"/>
  <c r="A19" i="10" s="1"/>
  <c r="A20" i="10" s="1"/>
  <c r="A21" i="10" s="1"/>
  <c r="F4" i="10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7" i="7"/>
  <c r="E17" i="7"/>
  <c r="D17" i="7"/>
  <c r="A14" i="7"/>
  <c r="A15" i="7"/>
  <c r="A16" i="7" s="1"/>
  <c r="H17" i="7"/>
  <c r="F15" i="10" l="1"/>
  <c r="F16" i="10" s="1"/>
  <c r="A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J503" i="6"/>
  <c r="K503" i="6" s="1"/>
  <c r="M503" i="6" s="1"/>
  <c r="F20" i="10" l="1"/>
  <c r="F21" i="10" s="1"/>
  <c r="F22" i="10" s="1"/>
  <c r="F17" i="10"/>
  <c r="F18" i="10" s="1"/>
  <c r="F19" i="10" s="1"/>
  <c r="J483" i="6"/>
  <c r="K483" i="6" s="1"/>
  <c r="M483" i="6" s="1"/>
  <c r="J484" i="6"/>
  <c r="K484" i="6" s="1"/>
  <c r="M484" i="6" s="1"/>
  <c r="J485" i="6"/>
  <c r="K485" i="6" s="1"/>
  <c r="M485" i="6" s="1"/>
  <c r="J486" i="6"/>
  <c r="K486" i="6" s="1"/>
  <c r="M486" i="6" s="1"/>
  <c r="J487" i="6"/>
  <c r="K487" i="6" s="1"/>
  <c r="M487" i="6" s="1"/>
  <c r="J488" i="6"/>
  <c r="K488" i="6" s="1"/>
  <c r="M488" i="6" s="1"/>
  <c r="J489" i="6"/>
  <c r="K489" i="6" s="1"/>
  <c r="M489" i="6" s="1"/>
  <c r="J490" i="6"/>
  <c r="K490" i="6" s="1"/>
  <c r="M490" i="6" s="1"/>
  <c r="J491" i="6"/>
  <c r="K491" i="6" s="1"/>
  <c r="M491" i="6" s="1"/>
  <c r="J492" i="6"/>
  <c r="K492" i="6" s="1"/>
  <c r="M492" i="6" s="1"/>
  <c r="J493" i="6"/>
  <c r="K493" i="6" s="1"/>
  <c r="M493" i="6" s="1"/>
  <c r="J494" i="6"/>
  <c r="K494" i="6" s="1"/>
  <c r="J495" i="6"/>
  <c r="K495" i="6" s="1"/>
  <c r="M495" i="6" s="1"/>
  <c r="J496" i="6"/>
  <c r="K496" i="6" s="1"/>
  <c r="M496" i="6" s="1"/>
  <c r="J497" i="6"/>
  <c r="J498" i="6"/>
  <c r="K498" i="6" s="1"/>
  <c r="M498" i="6" s="1"/>
  <c r="J499" i="6"/>
  <c r="K499" i="6" s="1"/>
  <c r="M499" i="6" s="1"/>
  <c r="J500" i="6"/>
  <c r="K500" i="6" s="1"/>
  <c r="M500" i="6" s="1"/>
  <c r="J501" i="6"/>
  <c r="K501" i="6" s="1"/>
  <c r="M501" i="6" s="1"/>
  <c r="J502" i="6"/>
  <c r="K502" i="6" s="1"/>
  <c r="M502" i="6" s="1"/>
  <c r="J504" i="6"/>
  <c r="K504" i="6" s="1"/>
  <c r="M504" i="6" s="1"/>
  <c r="J505" i="6"/>
  <c r="K505" i="6" s="1"/>
  <c r="M505" i="6" s="1"/>
  <c r="J506" i="6"/>
  <c r="K506" i="6" s="1"/>
  <c r="M506" i="6" s="1"/>
  <c r="J507" i="6"/>
  <c r="K507" i="6" s="1"/>
  <c r="M507" i="6" s="1"/>
  <c r="J508" i="6"/>
  <c r="K508" i="6" s="1"/>
  <c r="M508" i="6" s="1"/>
  <c r="J509" i="6"/>
  <c r="K509" i="6" s="1"/>
  <c r="M509" i="6" s="1"/>
  <c r="J510" i="6"/>
  <c r="K510" i="6" s="1"/>
  <c r="M510" i="6" s="1"/>
  <c r="J511" i="6"/>
  <c r="K511" i="6" s="1"/>
  <c r="M511" i="6" s="1"/>
  <c r="J512" i="6"/>
  <c r="J514" i="6"/>
  <c r="K514" i="6" s="1"/>
  <c r="M514" i="6" s="1"/>
  <c r="J515" i="6"/>
  <c r="K515" i="6" s="1"/>
  <c r="M515" i="6" s="1"/>
  <c r="J516" i="6"/>
  <c r="K516" i="6" s="1"/>
  <c r="M516" i="6" s="1"/>
  <c r="J517" i="6"/>
  <c r="K517" i="6" s="1"/>
  <c r="M517" i="6" s="1"/>
  <c r="J518" i="6"/>
  <c r="K518" i="6" s="1"/>
  <c r="M518" i="6" s="1"/>
  <c r="J519" i="6"/>
  <c r="K519" i="6" s="1"/>
  <c r="M519" i="6" s="1"/>
  <c r="J520" i="6"/>
  <c r="K520" i="6" s="1"/>
  <c r="M520" i="6" s="1"/>
  <c r="J521" i="6"/>
  <c r="K521" i="6" s="1"/>
  <c r="M521" i="6" s="1"/>
  <c r="J522" i="6"/>
  <c r="K522" i="6" s="1"/>
  <c r="M522" i="6" s="1"/>
  <c r="J523" i="6"/>
  <c r="K523" i="6" s="1"/>
  <c r="M523" i="6" s="1"/>
  <c r="J524" i="6"/>
  <c r="K524" i="6" s="1"/>
  <c r="M524" i="6" s="1"/>
  <c r="J525" i="6"/>
  <c r="K525" i="6" s="1"/>
  <c r="M525" i="6" s="1"/>
  <c r="J526" i="6"/>
  <c r="K526" i="6" s="1"/>
  <c r="M526" i="6" s="1"/>
  <c r="J527" i="6"/>
  <c r="K527" i="6" s="1"/>
  <c r="M527" i="6" s="1"/>
  <c r="J528" i="6"/>
  <c r="K528" i="6" s="1"/>
  <c r="M528" i="6" s="1"/>
  <c r="J529" i="6"/>
  <c r="K529" i="6" s="1"/>
  <c r="M529" i="6" s="1"/>
  <c r="J530" i="6"/>
  <c r="K530" i="6" s="1"/>
  <c r="M530" i="6" s="1"/>
  <c r="J531" i="6"/>
  <c r="K531" i="6" s="1"/>
  <c r="M531" i="6" s="1"/>
  <c r="J532" i="6"/>
  <c r="K532" i="6" s="1"/>
  <c r="M532" i="6" s="1"/>
  <c r="J533" i="6"/>
  <c r="K533" i="6" s="1"/>
  <c r="M533" i="6" s="1"/>
  <c r="J534" i="6"/>
  <c r="K534" i="6" s="1"/>
  <c r="M534" i="6" s="1"/>
  <c r="J535" i="6"/>
  <c r="K535" i="6" s="1"/>
  <c r="M535" i="6" s="1"/>
  <c r="J536" i="6"/>
  <c r="K536" i="6" s="1"/>
  <c r="M536" i="6" s="1"/>
  <c r="J537" i="6"/>
  <c r="K537" i="6" s="1"/>
  <c r="M537" i="6" s="1"/>
  <c r="J538" i="6"/>
  <c r="K538" i="6" s="1"/>
  <c r="M538" i="6" s="1"/>
  <c r="J539" i="6"/>
  <c r="K539" i="6" s="1"/>
  <c r="M539" i="6" s="1"/>
  <c r="J540" i="6"/>
  <c r="K540" i="6" s="1"/>
  <c r="M540" i="6" s="1"/>
  <c r="J541" i="6"/>
  <c r="K541" i="6" s="1"/>
  <c r="M541" i="6" s="1"/>
  <c r="J542" i="6"/>
  <c r="K542" i="6" s="1"/>
  <c r="M542" i="6" s="1"/>
  <c r="J543" i="6"/>
  <c r="K543" i="6" s="1"/>
  <c r="M543" i="6" s="1"/>
  <c r="J544" i="6"/>
  <c r="K544" i="6" s="1"/>
  <c r="M544" i="6" s="1"/>
  <c r="J545" i="6"/>
  <c r="K545" i="6" s="1"/>
  <c r="M545" i="6" s="1"/>
  <c r="J546" i="6"/>
  <c r="K546" i="6" s="1"/>
  <c r="M546" i="6" s="1"/>
  <c r="J547" i="6"/>
  <c r="K547" i="6" s="1"/>
  <c r="M547" i="6" s="1"/>
  <c r="J548" i="6"/>
  <c r="K548" i="6" s="1"/>
  <c r="M548" i="6" s="1"/>
  <c r="J549" i="6"/>
  <c r="K549" i="6" s="1"/>
  <c r="M549" i="6" s="1"/>
  <c r="J550" i="6"/>
  <c r="K550" i="6" s="1"/>
  <c r="M550" i="6" s="1"/>
  <c r="J551" i="6"/>
  <c r="K551" i="6" s="1"/>
  <c r="M551" i="6" s="1"/>
  <c r="J552" i="6"/>
  <c r="K552" i="6" s="1"/>
  <c r="M552" i="6" s="1"/>
  <c r="J553" i="6"/>
  <c r="K553" i="6" s="1"/>
  <c r="M553" i="6" s="1"/>
  <c r="J554" i="6"/>
  <c r="K554" i="6" s="1"/>
  <c r="M554" i="6" s="1"/>
  <c r="J555" i="6"/>
  <c r="K555" i="6" s="1"/>
  <c r="M555" i="6" s="1"/>
  <c r="J556" i="6"/>
  <c r="K556" i="6" s="1"/>
  <c r="M556" i="6" s="1"/>
  <c r="J557" i="6"/>
  <c r="K557" i="6" s="1"/>
  <c r="M557" i="6" s="1"/>
  <c r="J558" i="6"/>
  <c r="K558" i="6" s="1"/>
  <c r="M558" i="6" s="1"/>
  <c r="J559" i="6"/>
  <c r="K559" i="6" s="1"/>
  <c r="M559" i="6" s="1"/>
  <c r="J560" i="6"/>
  <c r="K560" i="6" s="1"/>
  <c r="M560" i="6" s="1"/>
  <c r="J561" i="6"/>
  <c r="K561" i="6" s="1"/>
  <c r="M561" i="6" s="1"/>
  <c r="J562" i="6"/>
  <c r="K562" i="6" s="1"/>
  <c r="M562" i="6" s="1"/>
  <c r="J563" i="6"/>
  <c r="K563" i="6" s="1"/>
  <c r="M563" i="6" s="1"/>
  <c r="J564" i="6"/>
  <c r="K564" i="6" s="1"/>
  <c r="M564" i="6" s="1"/>
  <c r="J565" i="6"/>
  <c r="K565" i="6" s="1"/>
  <c r="M565" i="6" s="1"/>
  <c r="J566" i="6"/>
  <c r="K566" i="6" s="1"/>
  <c r="M566" i="6" s="1"/>
  <c r="J567" i="6"/>
  <c r="K567" i="6" s="1"/>
  <c r="M567" i="6" s="1"/>
  <c r="J568" i="6"/>
  <c r="K568" i="6" s="1"/>
  <c r="M568" i="6" s="1"/>
  <c r="J569" i="6"/>
  <c r="K569" i="6" s="1"/>
  <c r="M569" i="6" s="1"/>
  <c r="J570" i="6"/>
  <c r="K570" i="6" s="1"/>
  <c r="M570" i="6" s="1"/>
  <c r="J571" i="6"/>
  <c r="K571" i="6" s="1"/>
  <c r="M571" i="6" s="1"/>
  <c r="J572" i="6"/>
  <c r="K572" i="6" s="1"/>
  <c r="M572" i="6" s="1"/>
  <c r="J573" i="6"/>
  <c r="K573" i="6" s="1"/>
  <c r="M573" i="6" s="1"/>
  <c r="J574" i="6"/>
  <c r="K574" i="6" s="1"/>
  <c r="M574" i="6" s="1"/>
  <c r="J575" i="6"/>
  <c r="K575" i="6" s="1"/>
  <c r="M575" i="6" s="1"/>
  <c r="J576" i="6"/>
  <c r="K576" i="6" s="1"/>
  <c r="M576" i="6" s="1"/>
  <c r="J577" i="6"/>
  <c r="K577" i="6" s="1"/>
  <c r="M577" i="6" s="1"/>
  <c r="J578" i="6"/>
  <c r="K578" i="6" s="1"/>
  <c r="M578" i="6" s="1"/>
  <c r="J579" i="6"/>
  <c r="K579" i="6" s="1"/>
  <c r="M579" i="6" s="1"/>
  <c r="J580" i="6"/>
  <c r="K580" i="6" s="1"/>
  <c r="M580" i="6" s="1"/>
  <c r="J581" i="6"/>
  <c r="K581" i="6" s="1"/>
  <c r="M581" i="6" s="1"/>
  <c r="J582" i="6"/>
  <c r="K582" i="6" s="1"/>
  <c r="M582" i="6" s="1"/>
  <c r="J583" i="6"/>
  <c r="K583" i="6" s="1"/>
  <c r="M583" i="6" s="1"/>
  <c r="J584" i="6"/>
  <c r="K584" i="6" s="1"/>
  <c r="M584" i="6" s="1"/>
  <c r="J585" i="6"/>
  <c r="K585" i="6" s="1"/>
  <c r="M585" i="6" s="1"/>
  <c r="J586" i="6"/>
  <c r="K586" i="6" s="1"/>
  <c r="M586" i="6" s="1"/>
  <c r="J587" i="6"/>
  <c r="K587" i="6" s="1"/>
  <c r="M587" i="6" s="1"/>
  <c r="J588" i="6"/>
  <c r="K588" i="6" s="1"/>
  <c r="M588" i="6" s="1"/>
  <c r="J589" i="6"/>
  <c r="K589" i="6" s="1"/>
  <c r="M589" i="6" s="1"/>
  <c r="J590" i="6"/>
  <c r="K590" i="6" s="1"/>
  <c r="M590" i="6" s="1"/>
  <c r="J591" i="6"/>
  <c r="K591" i="6" s="1"/>
  <c r="M591" i="6" s="1"/>
  <c r="J592" i="6"/>
  <c r="K592" i="6" s="1"/>
  <c r="M592" i="6" s="1"/>
  <c r="J593" i="6"/>
  <c r="K593" i="6" s="1"/>
  <c r="M593" i="6" s="1"/>
  <c r="J594" i="6"/>
  <c r="K594" i="6" s="1"/>
  <c r="M594" i="6" s="1"/>
  <c r="J595" i="6"/>
  <c r="K595" i="6" s="1"/>
  <c r="M595" i="6" s="1"/>
  <c r="J596" i="6"/>
  <c r="K596" i="6" s="1"/>
  <c r="M596" i="6" s="1"/>
  <c r="J597" i="6"/>
  <c r="K597" i="6" s="1"/>
  <c r="M597" i="6" s="1"/>
  <c r="J598" i="6"/>
  <c r="K598" i="6" s="1"/>
  <c r="M598" i="6" s="1"/>
  <c r="J599" i="6"/>
  <c r="K599" i="6" s="1"/>
  <c r="M599" i="6" s="1"/>
  <c r="J600" i="6"/>
  <c r="K600" i="6" s="1"/>
  <c r="M600" i="6" s="1"/>
  <c r="J601" i="6"/>
  <c r="K601" i="6" s="1"/>
  <c r="M601" i="6" s="1"/>
  <c r="J602" i="6"/>
  <c r="K602" i="6" s="1"/>
  <c r="M602" i="6" s="1"/>
  <c r="J603" i="6"/>
  <c r="K603" i="6" s="1"/>
  <c r="M603" i="6" s="1"/>
  <c r="J604" i="6"/>
  <c r="K604" i="6" s="1"/>
  <c r="M604" i="6" s="1"/>
  <c r="J605" i="6"/>
  <c r="K605" i="6" s="1"/>
  <c r="M605" i="6" s="1"/>
  <c r="J606" i="6"/>
  <c r="K606" i="6" s="1"/>
  <c r="M606" i="6" s="1"/>
  <c r="J607" i="6"/>
  <c r="K607" i="6" s="1"/>
  <c r="M607" i="6" s="1"/>
  <c r="J608" i="6"/>
  <c r="K608" i="6" s="1"/>
  <c r="M608" i="6" s="1"/>
  <c r="J609" i="6"/>
  <c r="K609" i="6" s="1"/>
  <c r="M609" i="6" s="1"/>
  <c r="J610" i="6"/>
  <c r="K610" i="6" s="1"/>
  <c r="M610" i="6" s="1"/>
  <c r="J611" i="6"/>
  <c r="K611" i="6" s="1"/>
  <c r="M611" i="6" s="1"/>
  <c r="J612" i="6"/>
  <c r="K612" i="6" s="1"/>
  <c r="M612" i="6" s="1"/>
  <c r="J613" i="6"/>
  <c r="K613" i="6" s="1"/>
  <c r="M613" i="6" s="1"/>
  <c r="J614" i="6"/>
  <c r="K614" i="6" s="1"/>
  <c r="M614" i="6" s="1"/>
  <c r="J615" i="6"/>
  <c r="K615" i="6" s="1"/>
  <c r="M615" i="6" s="1"/>
  <c r="J616" i="6"/>
  <c r="K616" i="6" s="1"/>
  <c r="M616" i="6" s="1"/>
  <c r="J617" i="6"/>
  <c r="K617" i="6" s="1"/>
  <c r="M617" i="6" s="1"/>
  <c r="J618" i="6"/>
  <c r="K618" i="6" s="1"/>
  <c r="M618" i="6" s="1"/>
  <c r="J619" i="6"/>
  <c r="K619" i="6" s="1"/>
  <c r="M619" i="6" s="1"/>
  <c r="J620" i="6"/>
  <c r="K620" i="6" s="1"/>
  <c r="M620" i="6" s="1"/>
  <c r="J621" i="6"/>
  <c r="K621" i="6" s="1"/>
  <c r="M621" i="6" s="1"/>
  <c r="J622" i="6"/>
  <c r="K622" i="6" s="1"/>
  <c r="M622" i="6" s="1"/>
  <c r="J623" i="6"/>
  <c r="K623" i="6" s="1"/>
  <c r="M623" i="6" s="1"/>
  <c r="J624" i="6"/>
  <c r="K624" i="6" s="1"/>
  <c r="M624" i="6" s="1"/>
  <c r="J625" i="6"/>
  <c r="K625" i="6" s="1"/>
  <c r="M625" i="6" s="1"/>
  <c r="J626" i="6"/>
  <c r="K626" i="6" s="1"/>
  <c r="M626" i="6" s="1"/>
  <c r="K497" i="6"/>
  <c r="M497" i="6" s="1"/>
  <c r="K512" i="6"/>
  <c r="M512" i="6" s="1"/>
  <c r="K482" i="6"/>
  <c r="M482" i="6" s="1"/>
  <c r="L494" i="6" l="1"/>
  <c r="M494" i="6" s="1"/>
  <c r="N191" i="6"/>
  <c r="J354" i="6" l="1"/>
  <c r="K354" i="6" s="1"/>
  <c r="M354" i="6" s="1"/>
  <c r="J355" i="6"/>
  <c r="K355" i="6" s="1"/>
  <c r="M355" i="6" s="1"/>
  <c r="J356" i="6"/>
  <c r="K356" i="6" s="1"/>
  <c r="M356" i="6" s="1"/>
  <c r="J357" i="6"/>
  <c r="K357" i="6" s="1"/>
  <c r="L357" i="6" s="1"/>
  <c r="M357" i="6" s="1"/>
  <c r="J358" i="6"/>
  <c r="K358" i="6" s="1"/>
  <c r="M358" i="6" s="1"/>
  <c r="J359" i="6"/>
  <c r="K359" i="6" s="1"/>
  <c r="M359" i="6" s="1"/>
  <c r="J360" i="6"/>
  <c r="J361" i="6"/>
  <c r="K361" i="6" s="1"/>
  <c r="M361" i="6" s="1"/>
  <c r="J362" i="6"/>
  <c r="K362" i="6" s="1"/>
  <c r="M362" i="6" s="1"/>
  <c r="J365" i="6"/>
  <c r="K365" i="6" s="1"/>
  <c r="M365" i="6" s="1"/>
  <c r="J366" i="6"/>
  <c r="K366" i="6" s="1"/>
  <c r="M366" i="6" s="1"/>
  <c r="J367" i="6"/>
  <c r="K367" i="6" s="1"/>
  <c r="M367" i="6" s="1"/>
  <c r="J368" i="6"/>
  <c r="K368" i="6" s="1"/>
  <c r="M368" i="6" s="1"/>
  <c r="J369" i="6"/>
  <c r="K369" i="6" s="1"/>
  <c r="J370" i="6"/>
  <c r="J371" i="6"/>
  <c r="K371" i="6" s="1"/>
  <c r="M371" i="6" s="1"/>
  <c r="J372" i="6"/>
  <c r="K372" i="6" s="1"/>
  <c r="J373" i="6"/>
  <c r="K373" i="6" s="1"/>
  <c r="J374" i="6"/>
  <c r="K374" i="6" s="1"/>
  <c r="J375" i="6"/>
  <c r="K375" i="6" s="1"/>
  <c r="J376" i="6"/>
  <c r="K376" i="6" s="1"/>
  <c r="M376" i="6" s="1"/>
  <c r="J377" i="6"/>
  <c r="K377" i="6" s="1"/>
  <c r="J378" i="6"/>
  <c r="K378" i="6" s="1"/>
  <c r="J379" i="6"/>
  <c r="K379" i="6" s="1"/>
  <c r="M379" i="6" s="1"/>
  <c r="J380" i="6"/>
  <c r="K380" i="6" s="1"/>
  <c r="M380" i="6" s="1"/>
  <c r="J381" i="6"/>
  <c r="K381" i="6" s="1"/>
  <c r="M381" i="6" s="1"/>
  <c r="J382" i="6"/>
  <c r="K382" i="6" s="1"/>
  <c r="M382" i="6" s="1"/>
  <c r="J383" i="6"/>
  <c r="K383" i="6" s="1"/>
  <c r="M383" i="6" s="1"/>
  <c r="J384" i="6"/>
  <c r="K384" i="6" s="1"/>
  <c r="M384" i="6" s="1"/>
  <c r="J385" i="6"/>
  <c r="K385" i="6" s="1"/>
  <c r="J386" i="6"/>
  <c r="J387" i="6"/>
  <c r="K387" i="6" s="1"/>
  <c r="J388" i="6"/>
  <c r="K388" i="6" s="1"/>
  <c r="J389" i="6"/>
  <c r="K389" i="6" s="1"/>
  <c r="J390" i="6"/>
  <c r="K390" i="6" s="1"/>
  <c r="J391" i="6"/>
  <c r="K391" i="6" s="1"/>
  <c r="J392" i="6"/>
  <c r="K392" i="6" s="1"/>
  <c r="M392" i="6" s="1"/>
  <c r="J393" i="6"/>
  <c r="K393" i="6" s="1"/>
  <c r="M393" i="6" s="1"/>
  <c r="J394" i="6"/>
  <c r="K394" i="6" s="1"/>
  <c r="M394" i="6" s="1"/>
  <c r="J395" i="6"/>
  <c r="K395" i="6" s="1"/>
  <c r="M395" i="6" s="1"/>
  <c r="J396" i="6"/>
  <c r="K396" i="6" s="1"/>
  <c r="M396" i="6" s="1"/>
  <c r="J397" i="6"/>
  <c r="K397" i="6" s="1"/>
  <c r="J398" i="6"/>
  <c r="K398" i="6" s="1"/>
  <c r="J399" i="6"/>
  <c r="K399" i="6" s="1"/>
  <c r="J400" i="6"/>
  <c r="K400" i="6" s="1"/>
  <c r="J401" i="6"/>
  <c r="K401" i="6" s="1"/>
  <c r="J402" i="6"/>
  <c r="K402" i="6" s="1"/>
  <c r="J403" i="6"/>
  <c r="K403" i="6" s="1"/>
  <c r="M403" i="6" s="1"/>
  <c r="J404" i="6"/>
  <c r="K404" i="6" s="1"/>
  <c r="M404" i="6" s="1"/>
  <c r="J405" i="6"/>
  <c r="K405" i="6" s="1"/>
  <c r="M405" i="6" s="1"/>
  <c r="J406" i="6"/>
  <c r="K406" i="6" s="1"/>
  <c r="M406" i="6" s="1"/>
  <c r="J407" i="6"/>
  <c r="K407" i="6" s="1"/>
  <c r="M407" i="6" s="1"/>
  <c r="J408" i="6"/>
  <c r="K408" i="6" s="1"/>
  <c r="M408" i="6" s="1"/>
  <c r="J409" i="6"/>
  <c r="K409" i="6" s="1"/>
  <c r="M409" i="6" s="1"/>
  <c r="J410" i="6"/>
  <c r="K410" i="6" s="1"/>
  <c r="M410" i="6" s="1"/>
  <c r="J411" i="6"/>
  <c r="K411" i="6" s="1"/>
  <c r="M411" i="6" s="1"/>
  <c r="J412" i="6"/>
  <c r="K412" i="6" s="1"/>
  <c r="M412" i="6" s="1"/>
  <c r="J413" i="6"/>
  <c r="K413" i="6" s="1"/>
  <c r="M413" i="6" s="1"/>
  <c r="J414" i="6"/>
  <c r="K414" i="6" s="1"/>
  <c r="M414" i="6" s="1"/>
  <c r="J415" i="6"/>
  <c r="K415" i="6" s="1"/>
  <c r="M415" i="6" s="1"/>
  <c r="J416" i="6"/>
  <c r="K416" i="6" s="1"/>
  <c r="M416" i="6" s="1"/>
  <c r="J417" i="6"/>
  <c r="K417" i="6" s="1"/>
  <c r="M417" i="6" s="1"/>
  <c r="J418" i="6"/>
  <c r="K418" i="6" s="1"/>
  <c r="M418" i="6" s="1"/>
  <c r="J419" i="6"/>
  <c r="K419" i="6" s="1"/>
  <c r="M419" i="6" s="1"/>
  <c r="J420" i="6"/>
  <c r="K420" i="6" s="1"/>
  <c r="M420" i="6" s="1"/>
  <c r="J421" i="6"/>
  <c r="K421" i="6" s="1"/>
  <c r="M421" i="6" s="1"/>
  <c r="J422" i="6"/>
  <c r="K422" i="6" s="1"/>
  <c r="M422" i="6" s="1"/>
  <c r="J423" i="6"/>
  <c r="K423" i="6" s="1"/>
  <c r="M423" i="6" s="1"/>
  <c r="J424" i="6"/>
  <c r="K424" i="6" s="1"/>
  <c r="M424" i="6" s="1"/>
  <c r="J425" i="6"/>
  <c r="K425" i="6" s="1"/>
  <c r="M425" i="6" s="1"/>
  <c r="J426" i="6"/>
  <c r="K426" i="6" s="1"/>
  <c r="M426" i="6" s="1"/>
  <c r="J427" i="6"/>
  <c r="K427" i="6" s="1"/>
  <c r="M427" i="6" s="1"/>
  <c r="J428" i="6"/>
  <c r="K428" i="6" s="1"/>
  <c r="M428" i="6" s="1"/>
  <c r="J429" i="6"/>
  <c r="K429" i="6" s="1"/>
  <c r="J430" i="6"/>
  <c r="K430" i="6" s="1"/>
  <c r="J431" i="6"/>
  <c r="K431" i="6" s="1"/>
  <c r="M431" i="6" s="1"/>
  <c r="J432" i="6"/>
  <c r="K432" i="6" s="1"/>
  <c r="M432" i="6" s="1"/>
  <c r="J433" i="6"/>
  <c r="K433" i="6" s="1"/>
  <c r="M433" i="6" s="1"/>
  <c r="J434" i="6"/>
  <c r="K434" i="6" s="1"/>
  <c r="M434" i="6" s="1"/>
  <c r="J435" i="6"/>
  <c r="K435" i="6" s="1"/>
  <c r="M435" i="6" s="1"/>
  <c r="J436" i="6"/>
  <c r="K436" i="6" s="1"/>
  <c r="M436" i="6" s="1"/>
  <c r="J437" i="6"/>
  <c r="K437" i="6" s="1"/>
  <c r="M437" i="6" s="1"/>
  <c r="J438" i="6"/>
  <c r="K438" i="6" s="1"/>
  <c r="M438" i="6" s="1"/>
  <c r="J439" i="6"/>
  <c r="K439" i="6" s="1"/>
  <c r="M439" i="6" s="1"/>
  <c r="J440" i="6"/>
  <c r="K440" i="6" s="1"/>
  <c r="M440" i="6" s="1"/>
  <c r="J441" i="6"/>
  <c r="K441" i="6" s="1"/>
  <c r="M441" i="6" s="1"/>
  <c r="J442" i="6"/>
  <c r="J443" i="6"/>
  <c r="K443" i="6" s="1"/>
  <c r="M443" i="6" s="1"/>
  <c r="J444" i="6"/>
  <c r="K444" i="6" s="1"/>
  <c r="M444" i="6" s="1"/>
  <c r="J445" i="6"/>
  <c r="K445" i="6" s="1"/>
  <c r="M445" i="6" s="1"/>
  <c r="J446" i="6"/>
  <c r="K446" i="6" s="1"/>
  <c r="M446" i="6" s="1"/>
  <c r="J447" i="6"/>
  <c r="K447" i="6" s="1"/>
  <c r="M447" i="6" s="1"/>
  <c r="J448" i="6"/>
  <c r="K448" i="6" s="1"/>
  <c r="M448" i="6" s="1"/>
  <c r="J449" i="6"/>
  <c r="K449" i="6" s="1"/>
  <c r="M449" i="6" s="1"/>
  <c r="J450" i="6"/>
  <c r="K450" i="6" s="1"/>
  <c r="M450" i="6" s="1"/>
  <c r="J451" i="6"/>
  <c r="K451" i="6" s="1"/>
  <c r="M451" i="6" s="1"/>
  <c r="J452" i="6"/>
  <c r="K452" i="6" s="1"/>
  <c r="J453" i="6"/>
  <c r="K453" i="6" s="1"/>
  <c r="J454" i="6"/>
  <c r="K454" i="6" s="1"/>
  <c r="M454" i="6" s="1"/>
  <c r="J455" i="6"/>
  <c r="K455" i="6" s="1"/>
  <c r="M455" i="6" s="1"/>
  <c r="J456" i="6"/>
  <c r="K456" i="6" s="1"/>
  <c r="M456" i="6" s="1"/>
  <c r="J457" i="6"/>
  <c r="K457" i="6" s="1"/>
  <c r="M457" i="6" s="1"/>
  <c r="J458" i="6"/>
  <c r="K458" i="6" s="1"/>
  <c r="M458" i="6" s="1"/>
  <c r="J459" i="6"/>
  <c r="K459" i="6" s="1"/>
  <c r="M459" i="6" s="1"/>
  <c r="J460" i="6"/>
  <c r="K460" i="6" s="1"/>
  <c r="M460" i="6" s="1"/>
  <c r="J461" i="6"/>
  <c r="K461" i="6" s="1"/>
  <c r="M461" i="6" s="1"/>
  <c r="J462" i="6"/>
  <c r="K462" i="6" s="1"/>
  <c r="M462" i="6" s="1"/>
  <c r="J463" i="6"/>
  <c r="K463" i="6" s="1"/>
  <c r="M463" i="6" s="1"/>
  <c r="J464" i="6"/>
  <c r="K464" i="6" s="1"/>
  <c r="M464" i="6" s="1"/>
  <c r="J465" i="6"/>
  <c r="K465" i="6" s="1"/>
  <c r="M465" i="6" s="1"/>
  <c r="J466" i="6"/>
  <c r="K466" i="6" s="1"/>
  <c r="M466" i="6" s="1"/>
  <c r="J467" i="6"/>
  <c r="K467" i="6" s="1"/>
  <c r="M467" i="6" s="1"/>
  <c r="J468" i="6"/>
  <c r="K468" i="6" s="1"/>
  <c r="M468" i="6" s="1"/>
  <c r="J469" i="6"/>
  <c r="K469" i="6" s="1"/>
  <c r="M469" i="6" s="1"/>
  <c r="J470" i="6"/>
  <c r="K470" i="6" s="1"/>
  <c r="M470" i="6" s="1"/>
  <c r="J471" i="6"/>
  <c r="K471" i="6" s="1"/>
  <c r="M471" i="6" s="1"/>
  <c r="J472" i="6"/>
  <c r="K472" i="6" s="1"/>
  <c r="M472" i="6" s="1"/>
  <c r="J473" i="6"/>
  <c r="K473" i="6" s="1"/>
  <c r="M473" i="6" s="1"/>
  <c r="J474" i="6"/>
  <c r="K474" i="6" s="1"/>
  <c r="M474" i="6" s="1"/>
  <c r="J475" i="6"/>
  <c r="K475" i="6" s="1"/>
  <c r="M475" i="6" s="1"/>
  <c r="J478" i="6"/>
  <c r="K478" i="6" s="1"/>
  <c r="M478" i="6" s="1"/>
  <c r="J479" i="6"/>
  <c r="K479" i="6" s="1"/>
  <c r="M479" i="6" s="1"/>
  <c r="J480" i="6"/>
  <c r="K480" i="6" s="1"/>
  <c r="M480" i="6" s="1"/>
  <c r="K481" i="6"/>
  <c r="M481" i="6" s="1"/>
  <c r="K360" i="6"/>
  <c r="M360" i="6" s="1"/>
  <c r="K370" i="6"/>
  <c r="K386" i="6"/>
  <c r="K442" i="6"/>
  <c r="M442" i="6" s="1"/>
  <c r="L402" i="6" l="1"/>
  <c r="M402" i="6" s="1"/>
  <c r="L386" i="6"/>
  <c r="M386" i="6" s="1"/>
  <c r="L370" i="6"/>
  <c r="M370" i="6" s="1"/>
  <c r="L452" i="6"/>
  <c r="M452" i="6" s="1"/>
  <c r="L430" i="6"/>
  <c r="M430" i="6" s="1"/>
  <c r="L400" i="6"/>
  <c r="M400" i="6" s="1"/>
  <c r="L398" i="6"/>
  <c r="M398" i="6" s="1"/>
  <c r="L390" i="6"/>
  <c r="M390" i="6" s="1"/>
  <c r="L388" i="6"/>
  <c r="M388" i="6" s="1"/>
  <c r="L378" i="6"/>
  <c r="M378" i="6" s="1"/>
  <c r="L453" i="6"/>
  <c r="M453" i="6" s="1"/>
  <c r="L429" i="6"/>
  <c r="M429" i="6" s="1"/>
  <c r="L401" i="6"/>
  <c r="M401" i="6" s="1"/>
  <c r="L399" i="6"/>
  <c r="M399" i="6" s="1"/>
  <c r="L397" i="6"/>
  <c r="M397" i="6" s="1"/>
  <c r="L391" i="6"/>
  <c r="M391" i="6" s="1"/>
  <c r="L389" i="6"/>
  <c r="M389" i="6" s="1"/>
  <c r="L387" i="6"/>
  <c r="M387" i="6" s="1"/>
  <c r="L385" i="6"/>
  <c r="M385" i="6" s="1"/>
  <c r="L377" i="6"/>
  <c r="M377" i="6" s="1"/>
  <c r="L375" i="6"/>
  <c r="M375" i="6" s="1"/>
  <c r="L373" i="6"/>
  <c r="M373" i="6" s="1"/>
  <c r="L369" i="6"/>
  <c r="M369" i="6" s="1"/>
  <c r="L374" i="6"/>
  <c r="M374" i="6" s="1"/>
  <c r="L372" i="6"/>
  <c r="M372" i="6" s="1"/>
  <c r="J327" i="6"/>
  <c r="K327" i="6" s="1"/>
  <c r="M327" i="6" s="1"/>
  <c r="J328" i="6"/>
  <c r="K328" i="6" s="1"/>
  <c r="M328" i="6" s="1"/>
  <c r="J329" i="6"/>
  <c r="J330" i="6"/>
  <c r="K330" i="6" s="1"/>
  <c r="M330" i="6" s="1"/>
  <c r="J331" i="6"/>
  <c r="J332" i="6"/>
  <c r="K332" i="6" s="1"/>
  <c r="M332" i="6" s="1"/>
  <c r="J333" i="6"/>
  <c r="K333" i="6" s="1"/>
  <c r="L333" i="6" s="1"/>
  <c r="M333" i="6" s="1"/>
  <c r="J334" i="6"/>
  <c r="K334" i="6" s="1"/>
  <c r="M334" i="6" s="1"/>
  <c r="J335" i="6"/>
  <c r="K335" i="6" s="1"/>
  <c r="L335" i="6" s="1"/>
  <c r="M335" i="6" s="1"/>
  <c r="J336" i="6"/>
  <c r="K336" i="6" s="1"/>
  <c r="M336" i="6" s="1"/>
  <c r="J337" i="6"/>
  <c r="K337" i="6" s="1"/>
  <c r="M337" i="6" s="1"/>
  <c r="J338" i="6"/>
  <c r="J339" i="6"/>
  <c r="J340" i="6"/>
  <c r="K340" i="6" s="1"/>
  <c r="M340" i="6" s="1"/>
  <c r="J341" i="6"/>
  <c r="K341" i="6" s="1"/>
  <c r="L341" i="6" s="1"/>
  <c r="M341" i="6" s="1"/>
  <c r="J342" i="6"/>
  <c r="J343" i="6"/>
  <c r="J344" i="6"/>
  <c r="K344" i="6" s="1"/>
  <c r="M344" i="6" s="1"/>
  <c r="J345" i="6"/>
  <c r="K345" i="6" s="1"/>
  <c r="M345" i="6" s="1"/>
  <c r="J346" i="6"/>
  <c r="K346" i="6" s="1"/>
  <c r="M346" i="6" s="1"/>
  <c r="J347" i="6"/>
  <c r="K347" i="6" s="1"/>
  <c r="M347" i="6" s="1"/>
  <c r="J348" i="6"/>
  <c r="K348" i="6" s="1"/>
  <c r="M348" i="6" s="1"/>
  <c r="J349" i="6"/>
  <c r="K349" i="6" s="1"/>
  <c r="M349" i="6" s="1"/>
  <c r="J350" i="6"/>
  <c r="J351" i="6"/>
  <c r="J352" i="6"/>
  <c r="K352" i="6" s="1"/>
  <c r="M352" i="6" s="1"/>
  <c r="J353" i="6"/>
  <c r="K329" i="6"/>
  <c r="M329" i="6" s="1"/>
  <c r="K331" i="6"/>
  <c r="M331" i="6" s="1"/>
  <c r="K338" i="6"/>
  <c r="M338" i="6" s="1"/>
  <c r="K339" i="6"/>
  <c r="M339" i="6" s="1"/>
  <c r="K342" i="6"/>
  <c r="L342" i="6" s="1"/>
  <c r="K343" i="6"/>
  <c r="L343" i="6" s="1"/>
  <c r="M343" i="6" s="1"/>
  <c r="K350" i="6"/>
  <c r="M350" i="6" s="1"/>
  <c r="K351" i="6"/>
  <c r="M351" i="6" s="1"/>
  <c r="K353" i="6"/>
  <c r="M353" i="6" s="1"/>
  <c r="M342" i="6" l="1"/>
  <c r="J296" i="6"/>
  <c r="K296" i="6" s="1"/>
  <c r="M296" i="6" s="1"/>
  <c r="K295" i="6"/>
  <c r="M295" i="6" s="1"/>
  <c r="J295" i="6"/>
  <c r="J294" i="6"/>
  <c r="K294" i="6" s="1"/>
  <c r="M294" i="6" s="1"/>
  <c r="J293" i="6"/>
  <c r="K293" i="6" s="1"/>
  <c r="M293" i="6" s="1"/>
  <c r="J292" i="6"/>
  <c r="K292" i="6" s="1"/>
  <c r="M292" i="6" s="1"/>
  <c r="J284" i="6"/>
  <c r="K284" i="6" s="1"/>
  <c r="M284" i="6" s="1"/>
  <c r="J285" i="6"/>
  <c r="K285" i="6" s="1"/>
  <c r="M285" i="6" s="1"/>
  <c r="J286" i="6"/>
  <c r="K286" i="6" s="1"/>
  <c r="M286" i="6" s="1"/>
  <c r="J287" i="6"/>
  <c r="K287" i="6" s="1"/>
  <c r="M287" i="6" s="1"/>
  <c r="J288" i="6"/>
  <c r="K288" i="6" s="1"/>
  <c r="M288" i="6" s="1"/>
  <c r="J289" i="6"/>
  <c r="K289" i="6" s="1"/>
  <c r="M289" i="6" s="1"/>
  <c r="J290" i="6"/>
  <c r="K290" i="6" s="1"/>
  <c r="M290" i="6" s="1"/>
  <c r="J291" i="6"/>
  <c r="K291" i="6" s="1"/>
  <c r="M291" i="6" s="1"/>
  <c r="J297" i="6"/>
  <c r="K297" i="6" s="1"/>
  <c r="M297" i="6" s="1"/>
  <c r="J298" i="6"/>
  <c r="K298" i="6" s="1"/>
  <c r="M298" i="6" s="1"/>
  <c r="J299" i="6"/>
  <c r="K299" i="6" s="1"/>
  <c r="M299" i="6" s="1"/>
  <c r="J300" i="6"/>
  <c r="K300" i="6" s="1"/>
  <c r="M300" i="6" s="1"/>
  <c r="J301" i="6"/>
  <c r="K301" i="6" s="1"/>
  <c r="M301" i="6" s="1"/>
  <c r="J302" i="6"/>
  <c r="K302" i="6" s="1"/>
  <c r="M302" i="6" s="1"/>
  <c r="J303" i="6"/>
  <c r="K303" i="6" s="1"/>
  <c r="M303" i="6" s="1"/>
  <c r="J304" i="6"/>
  <c r="K304" i="6" s="1"/>
  <c r="M304" i="6" s="1"/>
  <c r="J305" i="6"/>
  <c r="K305" i="6" s="1"/>
  <c r="M305" i="6" s="1"/>
  <c r="J306" i="6"/>
  <c r="K306" i="6" s="1"/>
  <c r="M306" i="6" s="1"/>
  <c r="J307" i="6"/>
  <c r="K307" i="6" s="1"/>
  <c r="M307" i="6" s="1"/>
  <c r="J308" i="6"/>
  <c r="K308" i="6" s="1"/>
  <c r="M308" i="6" s="1"/>
  <c r="J279" i="6"/>
  <c r="K279" i="6" s="1"/>
  <c r="M279" i="6" s="1"/>
  <c r="J280" i="6"/>
  <c r="K280" i="6" s="1"/>
  <c r="M280" i="6" s="1"/>
  <c r="J281" i="6"/>
  <c r="K281" i="6" s="1"/>
  <c r="M281" i="6" s="1"/>
  <c r="J282" i="6"/>
  <c r="K282" i="6" s="1"/>
  <c r="M282" i="6" s="1"/>
  <c r="J283" i="6"/>
  <c r="K283" i="6" s="1"/>
  <c r="M283" i="6" s="1"/>
  <c r="J309" i="6"/>
  <c r="K309" i="6" s="1"/>
  <c r="M309" i="6" s="1"/>
  <c r="J310" i="6"/>
  <c r="K310" i="6" s="1"/>
  <c r="M310" i="6" s="1"/>
  <c r="J267" i="6"/>
  <c r="K267" i="6" s="1"/>
  <c r="M267" i="6" s="1"/>
  <c r="M7" i="9"/>
  <c r="M8" i="9"/>
  <c r="M10" i="9"/>
  <c r="M11" i="9"/>
  <c r="M6" i="9"/>
  <c r="J6" i="9"/>
  <c r="K16" i="6" l="1"/>
  <c r="K32" i="6"/>
  <c r="K33" i="6"/>
  <c r="K40" i="6"/>
  <c r="K42" i="6"/>
  <c r="K43" i="6"/>
  <c r="K48" i="6"/>
  <c r="K49" i="6"/>
  <c r="K53" i="6"/>
  <c r="K54" i="6"/>
  <c r="K58" i="6"/>
  <c r="K66" i="6"/>
  <c r="K70" i="6"/>
  <c r="K76" i="6"/>
  <c r="K80" i="6"/>
  <c r="K85" i="6"/>
  <c r="K86" i="6"/>
  <c r="K95" i="6"/>
  <c r="K96" i="6"/>
  <c r="K98" i="6"/>
  <c r="K99" i="6"/>
  <c r="K132" i="6"/>
  <c r="K140" i="6"/>
  <c r="K141" i="6"/>
  <c r="K154" i="6"/>
  <c r="K155" i="6"/>
  <c r="K157" i="6"/>
  <c r="K158" i="6"/>
  <c r="K163" i="6"/>
  <c r="K170" i="6"/>
  <c r="K171" i="6"/>
  <c r="K175" i="6"/>
  <c r="K178" i="6"/>
  <c r="K183" i="6"/>
  <c r="K184" i="6"/>
  <c r="K186" i="6"/>
  <c r="K187" i="6"/>
  <c r="K190" i="6"/>
  <c r="F151" i="6" l="1"/>
  <c r="J97" i="6" l="1"/>
  <c r="K97" i="6" s="1"/>
  <c r="M97" i="6" s="1"/>
  <c r="J98" i="6"/>
  <c r="J99" i="6"/>
  <c r="J100" i="6"/>
  <c r="K100" i="6" s="1"/>
  <c r="M100" i="6" s="1"/>
  <c r="J101" i="6"/>
  <c r="K101" i="6" s="1"/>
  <c r="M101" i="6" s="1"/>
  <c r="J102" i="6"/>
  <c r="K102" i="6" s="1"/>
  <c r="M102" i="6" s="1"/>
  <c r="J103" i="6"/>
  <c r="K103" i="6" s="1"/>
  <c r="M103" i="6" s="1"/>
  <c r="J104" i="6"/>
  <c r="K104" i="6" s="1"/>
  <c r="M104" i="6" s="1"/>
  <c r="J105" i="6"/>
  <c r="K105" i="6" s="1"/>
  <c r="M105" i="6" s="1"/>
  <c r="J106" i="6"/>
  <c r="K106" i="6" s="1"/>
  <c r="M106" i="6" s="1"/>
  <c r="J107" i="6"/>
  <c r="K107" i="6" s="1"/>
  <c r="J108" i="6"/>
  <c r="K108" i="6" s="1"/>
  <c r="M108" i="6" s="1"/>
  <c r="J109" i="6"/>
  <c r="K109" i="6" s="1"/>
  <c r="M109" i="6" s="1"/>
  <c r="J110" i="6"/>
  <c r="K110" i="6" s="1"/>
  <c r="M110" i="6" s="1"/>
  <c r="J111" i="6"/>
  <c r="K111" i="6" s="1"/>
  <c r="M111" i="6" s="1"/>
  <c r="J112" i="6"/>
  <c r="K112" i="6" s="1"/>
  <c r="M112" i="6" s="1"/>
  <c r="J113" i="6"/>
  <c r="K113" i="6" s="1"/>
  <c r="M113" i="6" s="1"/>
  <c r="J114" i="6"/>
  <c r="K114" i="6" s="1"/>
  <c r="M114" i="6" s="1"/>
  <c r="J115" i="6"/>
  <c r="K115" i="6" s="1"/>
  <c r="M115" i="6" s="1"/>
  <c r="J116" i="6"/>
  <c r="K116" i="6" s="1"/>
  <c r="M116" i="6" s="1"/>
  <c r="J117" i="6"/>
  <c r="K117" i="6" s="1"/>
  <c r="M117" i="6" s="1"/>
  <c r="J118" i="6"/>
  <c r="K118" i="6" s="1"/>
  <c r="M118" i="6" s="1"/>
  <c r="J119" i="6"/>
  <c r="K119" i="6" s="1"/>
  <c r="M119" i="6" s="1"/>
  <c r="J120" i="6"/>
  <c r="K120" i="6" s="1"/>
  <c r="M120" i="6" s="1"/>
  <c r="J121" i="6"/>
  <c r="K121" i="6" s="1"/>
  <c r="M121" i="6" s="1"/>
  <c r="J122" i="6"/>
  <c r="K122" i="6" s="1"/>
  <c r="M122" i="6" s="1"/>
  <c r="J123" i="6"/>
  <c r="K123" i="6" s="1"/>
  <c r="M123" i="6" s="1"/>
  <c r="J124" i="6"/>
  <c r="K124" i="6" s="1"/>
  <c r="M124" i="6" s="1"/>
  <c r="J125" i="6"/>
  <c r="K125" i="6" s="1"/>
  <c r="M125" i="6" s="1"/>
  <c r="J126" i="6"/>
  <c r="K126" i="6" s="1"/>
  <c r="M126" i="6" s="1"/>
  <c r="J127" i="6"/>
  <c r="K127" i="6" s="1"/>
  <c r="M127" i="6" s="1"/>
  <c r="J128" i="6"/>
  <c r="K128" i="6" s="1"/>
  <c r="M128" i="6" s="1"/>
  <c r="J129" i="6"/>
  <c r="K129" i="6" s="1"/>
  <c r="M129" i="6" s="1"/>
  <c r="J130" i="6"/>
  <c r="K130" i="6" s="1"/>
  <c r="M130" i="6" s="1"/>
  <c r="J131" i="6"/>
  <c r="K131" i="6" s="1"/>
  <c r="L131" i="6" s="1"/>
  <c r="M131" i="6" s="1"/>
  <c r="J132" i="6"/>
  <c r="J133" i="6"/>
  <c r="K133" i="6" s="1"/>
  <c r="M133" i="6" s="1"/>
  <c r="J134" i="6"/>
  <c r="K134" i="6" s="1"/>
  <c r="M134" i="6" s="1"/>
  <c r="J135" i="6"/>
  <c r="K135" i="6" s="1"/>
  <c r="M135" i="6" s="1"/>
  <c r="J136" i="6"/>
  <c r="K136" i="6" s="1"/>
  <c r="M136" i="6" s="1"/>
  <c r="J137" i="6"/>
  <c r="K137" i="6" s="1"/>
  <c r="M137" i="6" s="1"/>
  <c r="J138" i="6"/>
  <c r="K138" i="6" s="1"/>
  <c r="M138" i="6" s="1"/>
  <c r="J139" i="6"/>
  <c r="K139" i="6" s="1"/>
  <c r="M139" i="6" s="1"/>
  <c r="J140" i="6"/>
  <c r="M107" i="6"/>
  <c r="L132" i="6"/>
  <c r="M132" i="6" s="1"/>
  <c r="L140" i="6"/>
  <c r="M140" i="6" s="1"/>
  <c r="M98" i="6"/>
  <c r="M99" i="6"/>
  <c r="J141" i="6"/>
  <c r="J142" i="6"/>
  <c r="K142" i="6" s="1"/>
  <c r="J143" i="6"/>
  <c r="K143" i="6" s="1"/>
  <c r="J144" i="6"/>
  <c r="K144" i="6" s="1"/>
  <c r="M144" i="6" s="1"/>
  <c r="J145" i="6"/>
  <c r="J146" i="6"/>
  <c r="K146" i="6" s="1"/>
  <c r="M146" i="6" s="1"/>
  <c r="J147" i="6"/>
  <c r="J148" i="6"/>
  <c r="K148" i="6" s="1"/>
  <c r="M148" i="6" s="1"/>
  <c r="J149" i="6"/>
  <c r="J150" i="6"/>
  <c r="K150" i="6" s="1"/>
  <c r="M150" i="6" s="1"/>
  <c r="J151" i="6"/>
  <c r="J152" i="6"/>
  <c r="K152" i="6" s="1"/>
  <c r="M152" i="6" s="1"/>
  <c r="J153" i="6"/>
  <c r="K153" i="6" s="1"/>
  <c r="J154" i="6"/>
  <c r="J155" i="6"/>
  <c r="J156" i="6"/>
  <c r="K156" i="6" s="1"/>
  <c r="M156" i="6" s="1"/>
  <c r="J157" i="6"/>
  <c r="J158" i="6"/>
  <c r="J159" i="6"/>
  <c r="J160" i="6"/>
  <c r="K160" i="6" s="1"/>
  <c r="M160" i="6" s="1"/>
  <c r="J161" i="6"/>
  <c r="J162" i="6"/>
  <c r="J163" i="6"/>
  <c r="J164" i="6"/>
  <c r="K164" i="6" s="1"/>
  <c r="M164" i="6" s="1"/>
  <c r="J165" i="6"/>
  <c r="J166" i="6"/>
  <c r="K166" i="6" s="1"/>
  <c r="M166" i="6" s="1"/>
  <c r="J167" i="6"/>
  <c r="K167" i="6" s="1"/>
  <c r="M167" i="6" s="1"/>
  <c r="J168" i="6"/>
  <c r="K168" i="6" s="1"/>
  <c r="M168" i="6" s="1"/>
  <c r="J169" i="6"/>
  <c r="K169" i="6" s="1"/>
  <c r="J170" i="6"/>
  <c r="J171" i="6"/>
  <c r="J172" i="6"/>
  <c r="K172" i="6" s="1"/>
  <c r="M172" i="6" s="1"/>
  <c r="J173" i="6"/>
  <c r="K173" i="6" s="1"/>
  <c r="J174" i="6"/>
  <c r="K174" i="6" s="1"/>
  <c r="M174" i="6" s="1"/>
  <c r="J175" i="6"/>
  <c r="J176" i="6"/>
  <c r="K176" i="6" s="1"/>
  <c r="M176" i="6" s="1"/>
  <c r="J177" i="6"/>
  <c r="K177" i="6" s="1"/>
  <c r="J178" i="6"/>
  <c r="J179" i="6"/>
  <c r="K179" i="6" s="1"/>
  <c r="M179" i="6" s="1"/>
  <c r="J180" i="6"/>
  <c r="K180" i="6" s="1"/>
  <c r="M180" i="6" s="1"/>
  <c r="J181" i="6"/>
  <c r="K181" i="6" s="1"/>
  <c r="M181" i="6" s="1"/>
  <c r="J182" i="6"/>
  <c r="K182" i="6" s="1"/>
  <c r="J183" i="6"/>
  <c r="J184" i="6"/>
  <c r="L141" i="6"/>
  <c r="M141" i="6" s="1"/>
  <c r="L142" i="6"/>
  <c r="L171" i="6"/>
  <c r="M175" i="6"/>
  <c r="M163" i="6"/>
  <c r="J185" i="6"/>
  <c r="K185" i="6" s="1"/>
  <c r="M185" i="6" s="1"/>
  <c r="J186" i="6"/>
  <c r="J187" i="6"/>
  <c r="J188" i="6"/>
  <c r="K188" i="6" s="1"/>
  <c r="M188" i="6" s="1"/>
  <c r="J189" i="6"/>
  <c r="K189" i="6" s="1"/>
  <c r="M189" i="6" s="1"/>
  <c r="J190" i="6"/>
  <c r="J191" i="6"/>
  <c r="K191" i="6" s="1"/>
  <c r="M191" i="6" s="1"/>
  <c r="J192" i="6"/>
  <c r="K192" i="6" s="1"/>
  <c r="M192" i="6" s="1"/>
  <c r="J193" i="6"/>
  <c r="K193" i="6" s="1"/>
  <c r="M193" i="6" s="1"/>
  <c r="J194" i="6"/>
  <c r="K194" i="6" s="1"/>
  <c r="M194" i="6" s="1"/>
  <c r="J195" i="6"/>
  <c r="K195" i="6" s="1"/>
  <c r="M195" i="6" s="1"/>
  <c r="J196" i="6"/>
  <c r="K196" i="6" s="1"/>
  <c r="M196" i="6" s="1"/>
  <c r="J197" i="6"/>
  <c r="K197" i="6" s="1"/>
  <c r="M197" i="6" s="1"/>
  <c r="J198" i="6"/>
  <c r="K198" i="6" s="1"/>
  <c r="M198" i="6" s="1"/>
  <c r="J199" i="6"/>
  <c r="K199" i="6" s="1"/>
  <c r="M199" i="6" s="1"/>
  <c r="J200" i="6"/>
  <c r="K200" i="6" s="1"/>
  <c r="J201" i="6"/>
  <c r="K201" i="6" s="1"/>
  <c r="M201" i="6" s="1"/>
  <c r="J202" i="6"/>
  <c r="K202" i="6" s="1"/>
  <c r="L202" i="6" s="1"/>
  <c r="J203" i="6"/>
  <c r="K203" i="6" s="1"/>
  <c r="L203" i="6" s="1"/>
  <c r="J204" i="6"/>
  <c r="K204" i="6" s="1"/>
  <c r="L204" i="6" s="1"/>
  <c r="J205" i="6"/>
  <c r="K205" i="6" s="1"/>
  <c r="M205" i="6" s="1"/>
  <c r="J206" i="6"/>
  <c r="K206" i="6" s="1"/>
  <c r="M206" i="6" s="1"/>
  <c r="J207" i="6"/>
  <c r="K207" i="6" s="1"/>
  <c r="M207" i="6" s="1"/>
  <c r="J208" i="6"/>
  <c r="K208" i="6" s="1"/>
  <c r="M208" i="6" s="1"/>
  <c r="J209" i="6"/>
  <c r="K209" i="6" s="1"/>
  <c r="M209" i="6" s="1"/>
  <c r="J210" i="6"/>
  <c r="K210" i="6" s="1"/>
  <c r="M210" i="6" s="1"/>
  <c r="J211" i="6"/>
  <c r="K211" i="6" s="1"/>
  <c r="M211" i="6" s="1"/>
  <c r="J212" i="6"/>
  <c r="K212" i="6" s="1"/>
  <c r="M212" i="6" s="1"/>
  <c r="J213" i="6"/>
  <c r="K213" i="6" s="1"/>
  <c r="M213" i="6" s="1"/>
  <c r="J214" i="6"/>
  <c r="K214" i="6" s="1"/>
  <c r="M214" i="6" s="1"/>
  <c r="J215" i="6"/>
  <c r="K215" i="6" s="1"/>
  <c r="M215" i="6" s="1"/>
  <c r="J216" i="6"/>
  <c r="K216" i="6" s="1"/>
  <c r="M216" i="6" s="1"/>
  <c r="J217" i="6"/>
  <c r="K217" i="6" s="1"/>
  <c r="M217" i="6" s="1"/>
  <c r="J218" i="6"/>
  <c r="K218" i="6" s="1"/>
  <c r="M218" i="6" s="1"/>
  <c r="J219" i="6"/>
  <c r="K219" i="6" s="1"/>
  <c r="M219" i="6" s="1"/>
  <c r="J220" i="6"/>
  <c r="K220" i="6" s="1"/>
  <c r="M220" i="6" s="1"/>
  <c r="J221" i="6"/>
  <c r="K221" i="6" s="1"/>
  <c r="M221" i="6" s="1"/>
  <c r="J222" i="6"/>
  <c r="K222" i="6" s="1"/>
  <c r="M222" i="6" s="1"/>
  <c r="J223" i="6"/>
  <c r="K223" i="6" s="1"/>
  <c r="M223" i="6" s="1"/>
  <c r="J224" i="6"/>
  <c r="K224" i="6" s="1"/>
  <c r="M224" i="6" s="1"/>
  <c r="J225" i="6"/>
  <c r="K225" i="6" s="1"/>
  <c r="M225" i="6" s="1"/>
  <c r="L187" i="6"/>
  <c r="M190" i="6"/>
  <c r="M200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8" i="6"/>
  <c r="J269" i="6"/>
  <c r="J270" i="6"/>
  <c r="J271" i="6"/>
  <c r="J272" i="6"/>
  <c r="J273" i="6"/>
  <c r="J274" i="6"/>
  <c r="J275" i="6"/>
  <c r="J276" i="6"/>
  <c r="A10" i="9"/>
  <c r="J10" i="9"/>
  <c r="K10" i="9" s="1"/>
  <c r="A11" i="9"/>
  <c r="J11" i="9"/>
  <c r="K11" i="9" s="1"/>
  <c r="J9" i="9"/>
  <c r="K9" i="9" s="1"/>
  <c r="M9" i="9" s="1"/>
  <c r="J8" i="9"/>
  <c r="K8" i="9" s="1"/>
  <c r="J7" i="9"/>
  <c r="K7" i="9" s="1"/>
  <c r="A7" i="9"/>
  <c r="A8" i="9" s="1"/>
  <c r="A9" i="9" s="1"/>
  <c r="K6" i="9"/>
  <c r="K165" i="6" l="1"/>
  <c r="M173" i="6"/>
  <c r="M204" i="6"/>
  <c r="M202" i="6"/>
  <c r="M203" i="6"/>
  <c r="M142" i="6"/>
  <c r="K276" i="6"/>
  <c r="M276" i="6" s="1"/>
  <c r="K268" i="6"/>
  <c r="M268" i="6" s="1"/>
  <c r="K265" i="6"/>
  <c r="M265" i="6" s="1"/>
  <c r="K261" i="6"/>
  <c r="M261" i="6" s="1"/>
  <c r="K255" i="6"/>
  <c r="M255" i="6" s="1"/>
  <c r="K253" i="6"/>
  <c r="M253" i="6" s="1"/>
  <c r="K249" i="6"/>
  <c r="M249" i="6" s="1"/>
  <c r="K161" i="6"/>
  <c r="M161" i="6" s="1"/>
  <c r="K159" i="6"/>
  <c r="M159" i="6" s="1"/>
  <c r="K151" i="6"/>
  <c r="M151" i="6" s="1"/>
  <c r="K149" i="6"/>
  <c r="M149" i="6" s="1"/>
  <c r="K147" i="6"/>
  <c r="M147" i="6" s="1"/>
  <c r="K145" i="6"/>
  <c r="M145" i="6" s="1"/>
  <c r="K271" i="6"/>
  <c r="M271" i="6" s="1"/>
  <c r="K266" i="6"/>
  <c r="M266" i="6" s="1"/>
  <c r="K264" i="6"/>
  <c r="M264" i="6" s="1"/>
  <c r="K258" i="6"/>
  <c r="M258" i="6" s="1"/>
  <c r="K250" i="6"/>
  <c r="M250" i="6" s="1"/>
  <c r="K248" i="6"/>
  <c r="M248" i="6" s="1"/>
  <c r="K244" i="6"/>
  <c r="M244" i="6" s="1"/>
  <c r="K242" i="6"/>
  <c r="M242" i="6" s="1"/>
  <c r="K240" i="6"/>
  <c r="M240" i="6" s="1"/>
  <c r="K162" i="6"/>
  <c r="M162" i="6" s="1"/>
  <c r="K275" i="6"/>
  <c r="K274" i="6"/>
  <c r="K273" i="6"/>
  <c r="K272" i="6"/>
  <c r="K270" i="6"/>
  <c r="K269" i="6"/>
  <c r="K263" i="6"/>
  <c r="K262" i="6"/>
  <c r="L262" i="6" s="1"/>
  <c r="K260" i="6"/>
  <c r="K259" i="6"/>
  <c r="L259" i="6" s="1"/>
  <c r="K257" i="6"/>
  <c r="M257" i="6" s="1"/>
  <c r="K256" i="6"/>
  <c r="M256" i="6" s="1"/>
  <c r="K254" i="6"/>
  <c r="K252" i="6"/>
  <c r="M252" i="6" s="1"/>
  <c r="K251" i="6"/>
  <c r="M251" i="6" s="1"/>
  <c r="K247" i="6"/>
  <c r="M247" i="6" s="1"/>
  <c r="K246" i="6"/>
  <c r="M246" i="6" s="1"/>
  <c r="K245" i="6"/>
  <c r="M245" i="6" s="1"/>
  <c r="K243" i="6"/>
  <c r="M243" i="6" s="1"/>
  <c r="K241" i="6"/>
  <c r="M241" i="6" s="1"/>
  <c r="L177" i="6"/>
  <c r="M177" i="6" s="1"/>
  <c r="L169" i="6"/>
  <c r="M169" i="6" s="1"/>
  <c r="L182" i="6"/>
  <c r="M182" i="6" s="1"/>
  <c r="L178" i="6"/>
  <c r="M178" i="6" s="1"/>
  <c r="M187" i="6"/>
  <c r="L186" i="6"/>
  <c r="M186" i="6" s="1"/>
  <c r="L184" i="6"/>
  <c r="M184" i="6" s="1"/>
  <c r="L183" i="6"/>
  <c r="M183" i="6" s="1"/>
  <c r="M171" i="6"/>
  <c r="L170" i="6"/>
  <c r="M170" i="6" s="1"/>
  <c r="L143" i="6"/>
  <c r="M143" i="6" s="1"/>
  <c r="L155" i="6"/>
  <c r="M155" i="6" s="1"/>
  <c r="L153" i="6"/>
  <c r="M153" i="6" s="1"/>
  <c r="L154" i="6"/>
  <c r="M154" i="6" s="1"/>
  <c r="L158" i="6"/>
  <c r="M158" i="6" s="1"/>
  <c r="L157" i="6"/>
  <c r="M157" i="6" s="1"/>
  <c r="Q11" i="9"/>
  <c r="L11" i="9"/>
  <c r="Q10" i="9"/>
  <c r="L10" i="9"/>
  <c r="Q6" i="9"/>
  <c r="L6" i="9"/>
  <c r="Q7" i="9"/>
  <c r="L7" i="9"/>
  <c r="Q8" i="9"/>
  <c r="L8" i="9"/>
  <c r="L9" i="9"/>
  <c r="Q9" i="9"/>
  <c r="M165" i="6" l="1"/>
  <c r="M262" i="6"/>
  <c r="L260" i="6"/>
  <c r="M260" i="6" s="1"/>
  <c r="L269" i="6"/>
  <c r="M269" i="6" s="1"/>
  <c r="L272" i="6"/>
  <c r="M272" i="6" s="1"/>
  <c r="L274" i="6"/>
  <c r="M274" i="6" s="1"/>
  <c r="L254" i="6"/>
  <c r="M254" i="6" s="1"/>
  <c r="M259" i="6"/>
  <c r="L263" i="6"/>
  <c r="M263" i="6" s="1"/>
  <c r="L270" i="6"/>
  <c r="M270" i="6" s="1"/>
  <c r="L273" i="6"/>
  <c r="M273" i="6" s="1"/>
  <c r="L275" i="6"/>
  <c r="M275" i="6" s="1"/>
  <c r="J41" i="6"/>
  <c r="J42" i="6"/>
  <c r="J43" i="6"/>
  <c r="J44" i="6"/>
  <c r="J45" i="6"/>
  <c r="K45" i="6" s="1"/>
  <c r="J46" i="6"/>
  <c r="K46" i="6" s="1"/>
  <c r="J47" i="6"/>
  <c r="J48" i="6"/>
  <c r="J49" i="6"/>
  <c r="J50" i="6"/>
  <c r="K50" i="6" s="1"/>
  <c r="J51" i="6"/>
  <c r="J52" i="6"/>
  <c r="J53" i="6"/>
  <c r="J54" i="6"/>
  <c r="J55" i="6"/>
  <c r="J56" i="6"/>
  <c r="K56" i="6" s="1"/>
  <c r="J57" i="6"/>
  <c r="J58" i="6"/>
  <c r="J59" i="6"/>
  <c r="J60" i="6"/>
  <c r="K60" i="6" s="1"/>
  <c r="J61" i="6"/>
  <c r="J62" i="6"/>
  <c r="K62" i="6" s="1"/>
  <c r="J63" i="6"/>
  <c r="J64" i="6"/>
  <c r="J65" i="6"/>
  <c r="J66" i="6"/>
  <c r="J67" i="6"/>
  <c r="J68" i="6"/>
  <c r="K68" i="6" s="1"/>
  <c r="J69" i="6"/>
  <c r="L48" i="6"/>
  <c r="M48" i="6" s="1"/>
  <c r="L49" i="6"/>
  <c r="M49" i="6" s="1"/>
  <c r="M53" i="6"/>
  <c r="M54" i="6"/>
  <c r="M58" i="6"/>
  <c r="M66" i="6"/>
  <c r="J71" i="6"/>
  <c r="J72" i="6"/>
  <c r="J73" i="6"/>
  <c r="J74" i="6"/>
  <c r="J75" i="6"/>
  <c r="J76" i="6"/>
  <c r="M76" i="6" s="1"/>
  <c r="J77" i="6"/>
  <c r="J78" i="6"/>
  <c r="K78" i="6" s="1"/>
  <c r="J79" i="6"/>
  <c r="J80" i="6"/>
  <c r="M80" i="6" s="1"/>
  <c r="J81" i="6"/>
  <c r="J82" i="6"/>
  <c r="J83" i="6"/>
  <c r="J84" i="6"/>
  <c r="J85" i="6"/>
  <c r="M85" i="6" s="1"/>
  <c r="J86" i="6"/>
  <c r="M86" i="6" s="1"/>
  <c r="J87" i="6"/>
  <c r="J88" i="6"/>
  <c r="J89" i="6"/>
  <c r="J90" i="6"/>
  <c r="J91" i="6"/>
  <c r="J92" i="6"/>
  <c r="J93" i="6"/>
  <c r="J94" i="6"/>
  <c r="K94" i="6" s="1"/>
  <c r="J95" i="6"/>
  <c r="J96" i="6"/>
  <c r="K92" i="6" l="1"/>
  <c r="M92" i="6" s="1"/>
  <c r="K90" i="6"/>
  <c r="M90" i="6" s="1"/>
  <c r="K88" i="6"/>
  <c r="M88" i="6" s="1"/>
  <c r="K84" i="6"/>
  <c r="M84" i="6" s="1"/>
  <c r="K82" i="6"/>
  <c r="M82" i="6" s="1"/>
  <c r="K74" i="6"/>
  <c r="M74" i="6" s="1"/>
  <c r="K72" i="6"/>
  <c r="M72" i="6" s="1"/>
  <c r="K69" i="6"/>
  <c r="M69" i="6" s="1"/>
  <c r="K67" i="6"/>
  <c r="M67" i="6" s="1"/>
  <c r="K65" i="6"/>
  <c r="M65" i="6" s="1"/>
  <c r="K63" i="6"/>
  <c r="M63" i="6" s="1"/>
  <c r="K61" i="6"/>
  <c r="M61" i="6" s="1"/>
  <c r="K59" i="6"/>
  <c r="M59" i="6" s="1"/>
  <c r="K57" i="6"/>
  <c r="M57" i="6" s="1"/>
  <c r="K55" i="6"/>
  <c r="M55" i="6" s="1"/>
  <c r="K51" i="6"/>
  <c r="M51" i="6" s="1"/>
  <c r="K47" i="6"/>
  <c r="M47" i="6" s="1"/>
  <c r="K41" i="6"/>
  <c r="M41" i="6" s="1"/>
  <c r="K93" i="6"/>
  <c r="M93" i="6" s="1"/>
  <c r="K91" i="6"/>
  <c r="M91" i="6" s="1"/>
  <c r="K89" i="6"/>
  <c r="M89" i="6" s="1"/>
  <c r="K87" i="6"/>
  <c r="M87" i="6" s="1"/>
  <c r="K83" i="6"/>
  <c r="M83" i="6" s="1"/>
  <c r="K81" i="6"/>
  <c r="M81" i="6" s="1"/>
  <c r="K79" i="6"/>
  <c r="M79" i="6" s="1"/>
  <c r="K77" i="6"/>
  <c r="M77" i="6" s="1"/>
  <c r="K75" i="6"/>
  <c r="M75" i="6" s="1"/>
  <c r="K73" i="6"/>
  <c r="M73" i="6" s="1"/>
  <c r="K71" i="6"/>
  <c r="M71" i="6" s="1"/>
  <c r="K64" i="6"/>
  <c r="M64" i="6" s="1"/>
  <c r="K52" i="6"/>
  <c r="M52" i="6" s="1"/>
  <c r="K44" i="6"/>
  <c r="M44" i="6" s="1"/>
  <c r="L68" i="6"/>
  <c r="M68" i="6" s="1"/>
  <c r="L62" i="6"/>
  <c r="M62" i="6" s="1"/>
  <c r="L60" i="6"/>
  <c r="M60" i="6" s="1"/>
  <c r="L56" i="6"/>
  <c r="M56" i="6" s="1"/>
  <c r="L50" i="6"/>
  <c r="L46" i="6"/>
  <c r="L78" i="6"/>
  <c r="M78" i="6" s="1"/>
  <c r="L45" i="6"/>
  <c r="M45" i="6" s="1"/>
  <c r="L95" i="6"/>
  <c r="M95" i="6" s="1"/>
  <c r="L96" i="6"/>
  <c r="M96" i="6" s="1"/>
  <c r="L94" i="6"/>
  <c r="M94" i="6" s="1"/>
  <c r="L42" i="6"/>
  <c r="M42" i="6" s="1"/>
  <c r="L43" i="6"/>
  <c r="M43" i="6" s="1"/>
  <c r="A11" i="8"/>
  <c r="J32" i="6"/>
  <c r="J33" i="6"/>
  <c r="J34" i="6"/>
  <c r="K34" i="6" s="1"/>
  <c r="J35" i="6"/>
  <c r="K35" i="6" s="1"/>
  <c r="J36" i="6"/>
  <c r="K36" i="6" s="1"/>
  <c r="J37" i="6"/>
  <c r="K37" i="6" s="1"/>
  <c r="J38" i="6"/>
  <c r="K38" i="6" s="1"/>
  <c r="J39" i="6"/>
  <c r="K39" i="6" s="1"/>
  <c r="J40" i="6"/>
  <c r="L40" i="6" s="1"/>
  <c r="J70" i="6"/>
  <c r="J277" i="6"/>
  <c r="K277" i="6" s="1"/>
  <c r="J278" i="6"/>
  <c r="K278" i="6" s="1"/>
  <c r="J311" i="6"/>
  <c r="K311" i="6" s="1"/>
  <c r="L278" i="6" l="1"/>
  <c r="M278" i="6" s="1"/>
  <c r="L37" i="6"/>
  <c r="M311" i="6"/>
  <c r="L277" i="6"/>
  <c r="M277" i="6" s="1"/>
  <c r="M50" i="6"/>
  <c r="M46" i="6"/>
  <c r="M70" i="6"/>
  <c r="L39" i="6"/>
  <c r="M39" i="6" s="1"/>
  <c r="M37" i="6"/>
  <c r="L35" i="6"/>
  <c r="M35" i="6" s="1"/>
  <c r="L33" i="6"/>
  <c r="M33" i="6" s="1"/>
  <c r="M40" i="6"/>
  <c r="M38" i="6"/>
  <c r="L36" i="6"/>
  <c r="M36" i="6" s="1"/>
  <c r="L34" i="6"/>
  <c r="M34" i="6" s="1"/>
  <c r="L32" i="6"/>
  <c r="M32" i="6" s="1"/>
  <c r="E13" i="8"/>
  <c r="D13" i="8"/>
  <c r="A5" i="8"/>
  <c r="A6" i="8" s="1"/>
  <c r="A7" i="8" s="1"/>
  <c r="A8" i="8" s="1"/>
  <c r="A9" i="8" s="1"/>
  <c r="A10" i="8" s="1"/>
  <c r="A12" i="8" s="1"/>
  <c r="F4" i="8"/>
  <c r="F5" i="8" s="1"/>
  <c r="F6" i="8" s="1"/>
  <c r="F7" i="8" s="1"/>
  <c r="F8" i="8" s="1"/>
  <c r="F9" i="8" s="1"/>
  <c r="F10" i="8" s="1"/>
  <c r="F11" i="8" l="1"/>
  <c r="F12" i="8" s="1"/>
  <c r="F13" i="8" s="1"/>
  <c r="J312" i="6"/>
  <c r="K312" i="6" s="1"/>
  <c r="J313" i="6"/>
  <c r="J314" i="6"/>
  <c r="K314" i="6" s="1"/>
  <c r="J315" i="6"/>
  <c r="K315" i="6" s="1"/>
  <c r="J316" i="6"/>
  <c r="K316" i="6" s="1"/>
  <c r="J317" i="6"/>
  <c r="K317" i="6" s="1"/>
  <c r="J318" i="6"/>
  <c r="J319" i="6"/>
  <c r="J320" i="6"/>
  <c r="J321" i="6"/>
  <c r="J322" i="6"/>
  <c r="J323" i="6"/>
  <c r="J324" i="6"/>
  <c r="J325" i="6"/>
  <c r="J326" i="6"/>
  <c r="M314" i="6"/>
  <c r="M315" i="6"/>
  <c r="M316" i="6"/>
  <c r="M317" i="6"/>
  <c r="J17" i="6"/>
  <c r="K17" i="6" s="1"/>
  <c r="M17" i="6"/>
  <c r="A5" i="7"/>
  <c r="A6" i="7" s="1"/>
  <c r="A7" i="7" s="1"/>
  <c r="A8" i="7" s="1"/>
  <c r="A9" i="7" s="1"/>
  <c r="A10" i="7" s="1"/>
  <c r="A11" i="7" s="1"/>
  <c r="A12" i="7" s="1"/>
  <c r="A13" i="7" s="1"/>
  <c r="F4" i="7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K321" i="6" l="1"/>
  <c r="M321" i="6" s="1"/>
  <c r="K325" i="6"/>
  <c r="M325" i="6" s="1"/>
  <c r="K323" i="6"/>
  <c r="M323" i="6" s="1"/>
  <c r="K319" i="6"/>
  <c r="M319" i="6" s="1"/>
  <c r="K313" i="6"/>
  <c r="K326" i="6"/>
  <c r="M326" i="6" s="1"/>
  <c r="K324" i="6"/>
  <c r="M324" i="6" s="1"/>
  <c r="K322" i="6"/>
  <c r="M322" i="6" s="1"/>
  <c r="K320" i="6"/>
  <c r="M320" i="6" s="1"/>
  <c r="K318" i="6"/>
  <c r="M318" i="6" s="1"/>
  <c r="L313" i="6" l="1"/>
  <c r="M313" i="6" s="1"/>
  <c r="M312" i="6"/>
  <c r="J4" i="6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K15" i="6" s="1"/>
  <c r="J16" i="6"/>
  <c r="M16" i="6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J2" i="6" l="1"/>
  <c r="K4" i="6"/>
  <c r="K2" i="6" s="1"/>
  <c r="J627" i="6"/>
  <c r="K627" i="6"/>
  <c r="L627" i="6"/>
  <c r="L2" i="6"/>
  <c r="A71" i="6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M15" i="6"/>
  <c r="M13" i="6"/>
  <c r="M11" i="6"/>
  <c r="M9" i="6"/>
  <c r="M7" i="6"/>
  <c r="M5" i="6"/>
  <c r="M14" i="6"/>
  <c r="M12" i="6"/>
  <c r="M10" i="6"/>
  <c r="M8" i="6"/>
  <c r="M6" i="6"/>
  <c r="A5" i="5"/>
  <c r="A236" i="6" l="1"/>
  <c r="A237" i="6" s="1"/>
  <c r="A238" i="6" s="1"/>
  <c r="A239" i="6" s="1"/>
  <c r="A240" i="6" s="1"/>
  <c r="A241" i="6" s="1"/>
  <c r="A242" i="6" s="1"/>
  <c r="A243" i="6" s="1"/>
  <c r="A244" i="6" s="1"/>
  <c r="M4" i="6"/>
  <c r="A6" i="5"/>
  <c r="A7" i="5" s="1"/>
  <c r="A8" i="5" s="1"/>
  <c r="A9" i="5" s="1"/>
  <c r="A10" i="5" s="1"/>
  <c r="A11" i="5" s="1"/>
  <c r="M2" i="6" l="1"/>
  <c r="M627" i="6"/>
  <c r="A245" i="6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12" i="5"/>
  <c r="L6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O4" i="2"/>
  <c r="N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N3" i="2"/>
  <c r="E2" i="2"/>
  <c r="F2" i="2" s="1"/>
  <c r="D2" i="2"/>
  <c r="E36" i="1"/>
  <c r="D36" i="1"/>
  <c r="H36" i="1" s="1"/>
  <c r="A5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l="1"/>
  <c r="A284" i="6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13" i="5"/>
  <c r="A14" i="5" s="1"/>
  <c r="A15" i="5" s="1"/>
  <c r="A363" i="6" l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16" i="5"/>
  <c r="A17" i="5" s="1"/>
  <c r="A18" i="5" s="1"/>
  <c r="A19" i="5" s="1"/>
  <c r="A20" i="5" s="1"/>
  <c r="A21" i="5" s="1"/>
  <c r="A22" i="5" s="1"/>
  <c r="F20" i="1"/>
  <c r="F21" i="1" s="1"/>
  <c r="A476" i="6" l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23" i="5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F22" i="1"/>
  <c r="A513" i="6" l="1"/>
  <c r="F30" i="5"/>
  <c r="F31" i="5" s="1"/>
  <c r="F32" i="5" s="1"/>
  <c r="F33" i="5" s="1"/>
  <c r="F34" i="5" s="1"/>
  <c r="F35" i="5" s="1"/>
  <c r="F23" i="1"/>
  <c r="A514" i="6" l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F24" i="1"/>
  <c r="F25" i="1" s="1"/>
  <c r="F26" i="1" s="1"/>
  <c r="F27" i="1" s="1"/>
  <c r="F28" i="1" l="1"/>
  <c r="F29" i="1" s="1"/>
  <c r="F30" i="1" s="1"/>
  <c r="F31" i="1" l="1"/>
  <c r="F32" i="1" s="1"/>
  <c r="F33" i="1" s="1"/>
  <c r="F34" i="1" s="1"/>
  <c r="F35" i="1" s="1"/>
  <c r="F36" i="1" s="1"/>
</calcChain>
</file>

<file path=xl/comments1.xml><?xml version="1.0" encoding="utf-8"?>
<comments xmlns="http://schemas.openxmlformats.org/spreadsheetml/2006/main">
  <authors>
    <author>الكاتب</author>
  </authors>
  <commentList>
    <comment ref="M189" authorId="0">
      <text>
        <r>
          <rPr>
            <b/>
            <sz val="11"/>
            <color indexed="81"/>
            <rFont val="Tahoma"/>
            <family val="2"/>
          </rPr>
          <t>الكاتب:</t>
        </r>
        <r>
          <rPr>
            <sz val="11"/>
            <color indexed="81"/>
            <rFont val="Tahoma"/>
            <family val="2"/>
          </rPr>
          <t xml:space="preserve">
الاجمالي خطأ ف الفاتورة
وهذا هو الاجمالي الصحيح
</t>
        </r>
      </text>
    </comment>
  </commentList>
</comments>
</file>

<file path=xl/comments2.xml><?xml version="1.0" encoding="utf-8"?>
<comments xmlns="http://schemas.openxmlformats.org/spreadsheetml/2006/main">
  <authors>
    <author>الكاتب</author>
  </authors>
  <commentList>
    <comment ref="M189" authorId="0">
      <text>
        <r>
          <rPr>
            <b/>
            <sz val="11"/>
            <color indexed="81"/>
            <rFont val="Tahoma"/>
            <family val="2"/>
          </rPr>
          <t>الكاتب:</t>
        </r>
        <r>
          <rPr>
            <sz val="11"/>
            <color indexed="81"/>
            <rFont val="Tahoma"/>
            <family val="2"/>
          </rPr>
          <t xml:space="preserve">
الاجمالي خطأ ف الفاتورة
وهذا هو الاجمالي الصحيح
</t>
        </r>
      </text>
    </comment>
  </commentList>
</comments>
</file>

<file path=xl/sharedStrings.xml><?xml version="1.0" encoding="utf-8"?>
<sst xmlns="http://schemas.openxmlformats.org/spreadsheetml/2006/main" count="922" uniqueCount="152">
  <si>
    <t>حساب السيد / محمد صابر</t>
  </si>
  <si>
    <t>م</t>
  </si>
  <si>
    <t xml:space="preserve">التاريخ </t>
  </si>
  <si>
    <t>رقم الايصال</t>
  </si>
  <si>
    <t>توريد بضاعة</t>
  </si>
  <si>
    <t>المبلغ المستلم</t>
  </si>
  <si>
    <t>متبقي</t>
  </si>
  <si>
    <t>ملاحظات</t>
  </si>
  <si>
    <t>اجماليات</t>
  </si>
  <si>
    <t>المبلغ لكامل</t>
  </si>
  <si>
    <t>مسحوب</t>
  </si>
  <si>
    <t>التاريخ</t>
  </si>
  <si>
    <t>رقم الفاتوره</t>
  </si>
  <si>
    <t>الاسم</t>
  </si>
  <si>
    <t>العدد</t>
  </si>
  <si>
    <t>الفئة</t>
  </si>
  <si>
    <t>الكمية</t>
  </si>
  <si>
    <t>السعر</t>
  </si>
  <si>
    <t>الاجمالي</t>
  </si>
  <si>
    <t>سيد ياسين</t>
  </si>
  <si>
    <t>حساب السيد  /</t>
  </si>
  <si>
    <t>زيارات</t>
  </si>
  <si>
    <t>عبود مبيدات</t>
  </si>
  <si>
    <t>احمد فاروق</t>
  </si>
  <si>
    <t>المبلغ المدفوع</t>
  </si>
  <si>
    <t>نقدي</t>
  </si>
  <si>
    <t>تحويل بريد</t>
  </si>
  <si>
    <t>هاني شتا</t>
  </si>
  <si>
    <t>طه محمود</t>
  </si>
  <si>
    <t>حامد بريد</t>
  </si>
  <si>
    <t>خالد الفيومي</t>
  </si>
  <si>
    <t>زبون خارجي</t>
  </si>
  <si>
    <t>حامد المنصورة</t>
  </si>
  <si>
    <t>هاني ربيع</t>
  </si>
  <si>
    <t>سلفة على المرتب</t>
  </si>
  <si>
    <t>عباس علي</t>
  </si>
  <si>
    <t>16/12/203</t>
  </si>
  <si>
    <t>رمضان منيا</t>
  </si>
  <si>
    <t>حسن صابر</t>
  </si>
  <si>
    <t>مجدي عبد المنعم</t>
  </si>
  <si>
    <t>تم التنزيل من حساب العميل</t>
  </si>
  <si>
    <t>غسان جمعه</t>
  </si>
  <si>
    <t>سيد كفر الشيخ</t>
  </si>
  <si>
    <t>عاطف اسماعيل</t>
  </si>
  <si>
    <t>ام كريم فريجة قرني</t>
  </si>
  <si>
    <t>محمود النشار</t>
  </si>
  <si>
    <t>محمد حموده</t>
  </si>
  <si>
    <t>محمد سعد</t>
  </si>
  <si>
    <t>محمد صابر</t>
  </si>
  <si>
    <t>خالد جمال</t>
  </si>
  <si>
    <t>عرفات بشير</t>
  </si>
  <si>
    <t>خصم</t>
  </si>
  <si>
    <t>محمود عبدالله</t>
  </si>
  <si>
    <t>اسم المشتري</t>
  </si>
  <si>
    <t>وزن فارغ</t>
  </si>
  <si>
    <t>وزن قائم</t>
  </si>
  <si>
    <t xml:space="preserve">عدد الصناديق </t>
  </si>
  <si>
    <t>سعر الكيلو</t>
  </si>
  <si>
    <t>صافي الصندوق</t>
  </si>
  <si>
    <t>صافي الكمية</t>
  </si>
  <si>
    <t>الوزن بالقنطار</t>
  </si>
  <si>
    <t>اجمالي المبلغ</t>
  </si>
  <si>
    <t>واصل 1</t>
  </si>
  <si>
    <t>واصل2</t>
  </si>
  <si>
    <t>واصل3</t>
  </si>
  <si>
    <t>حماده منصور</t>
  </si>
  <si>
    <t>محمد عبدالعاطي</t>
  </si>
  <si>
    <t>المتبقي</t>
  </si>
  <si>
    <t>فرزة</t>
  </si>
  <si>
    <t>لاغي</t>
  </si>
  <si>
    <t>م محمد شحاته</t>
  </si>
  <si>
    <t>محمد محمود</t>
  </si>
  <si>
    <t>ام يوسف</t>
  </si>
  <si>
    <t>محمد فرج</t>
  </si>
  <si>
    <t>محمود صلاح</t>
  </si>
  <si>
    <t>ام خالد</t>
  </si>
  <si>
    <t>ام نداء</t>
  </si>
  <si>
    <t>سائق الكونتر</t>
  </si>
  <si>
    <t>مكيس</t>
  </si>
  <si>
    <t>محمود رجب عبدالعظيم</t>
  </si>
  <si>
    <t>احمد ابو رجب</t>
  </si>
  <si>
    <t>م احمد منيا</t>
  </si>
  <si>
    <t>ضاحي المنيا</t>
  </si>
  <si>
    <t>مصطفى وادي</t>
  </si>
  <si>
    <t>ثلاجة</t>
  </si>
  <si>
    <t>محمد حسن</t>
  </si>
  <si>
    <t>خصم 500</t>
  </si>
  <si>
    <t>محمود محلة</t>
  </si>
  <si>
    <t>خصم 340</t>
  </si>
  <si>
    <t>اسامه عبدالعظيم</t>
  </si>
  <si>
    <t>احمد السعدني</t>
  </si>
  <si>
    <t>عباس محمد</t>
  </si>
  <si>
    <t>مصاريف اخرى</t>
  </si>
  <si>
    <t>تحميل</t>
  </si>
  <si>
    <t>ابوطالب عاطف</t>
  </si>
  <si>
    <t>الشيخ عبدالله الخضري</t>
  </si>
  <si>
    <t>محمد عبدالمحسن</t>
  </si>
  <si>
    <t>دسوقي شريف</t>
  </si>
  <si>
    <t>صلاح علي</t>
  </si>
  <si>
    <t>محمد منوفي</t>
  </si>
  <si>
    <t>اجرة تحميل</t>
  </si>
  <si>
    <t>ذمحمود زبون</t>
  </si>
  <si>
    <t>محمد فوزي</t>
  </si>
  <si>
    <t>خام</t>
  </si>
  <si>
    <t>ام شمس / مركز بدر</t>
  </si>
  <si>
    <t>مصطفى محمد عبدالعزيز</t>
  </si>
  <si>
    <t>حماده بني مزار</t>
  </si>
  <si>
    <t>ضاحي السوهاجي</t>
  </si>
  <si>
    <t>ابو اسماعيل</t>
  </si>
  <si>
    <t>احمد جراد</t>
  </si>
  <si>
    <t>عاطف رويال</t>
  </si>
  <si>
    <t>خيري امين</t>
  </si>
  <si>
    <t>ايمن رويال</t>
  </si>
  <si>
    <t>عاطف وصفي</t>
  </si>
  <si>
    <t>ابوعمر</t>
  </si>
  <si>
    <t>خالد الرماية</t>
  </si>
  <si>
    <t>احمد شارع فيصل</t>
  </si>
  <si>
    <t>محمد شارع فيصل</t>
  </si>
  <si>
    <t>جمعية طموه</t>
  </si>
  <si>
    <t>صابر الميكانيكي بحيرة</t>
  </si>
  <si>
    <t>محمد قعود</t>
  </si>
  <si>
    <t>عبده بحيرة ميكانيكي</t>
  </si>
  <si>
    <t>طارق شبكات</t>
  </si>
  <si>
    <t>وليد المنيا</t>
  </si>
  <si>
    <t>محمد شعبان</t>
  </si>
  <si>
    <t>محمد بطيخ</t>
  </si>
  <si>
    <t>محمد توفيق</t>
  </si>
  <si>
    <t>ابراهيم احمد سليم</t>
  </si>
  <si>
    <t>محمود منوفية</t>
  </si>
  <si>
    <t>صبري راشد</t>
  </si>
  <si>
    <t>عمر ابوزيد</t>
  </si>
  <si>
    <t>حسين الازهري</t>
  </si>
  <si>
    <t>عبدالله الشاعر</t>
  </si>
  <si>
    <t>مصطفى المنوفي</t>
  </si>
  <si>
    <t>2565 الاجمالي في الوصل</t>
  </si>
  <si>
    <t>احمد ماهر</t>
  </si>
  <si>
    <t>صلاح موسى</t>
  </si>
  <si>
    <t>نخل</t>
  </si>
  <si>
    <t>اجمالي الوصل خطأ</t>
  </si>
  <si>
    <t>وادي</t>
  </si>
  <si>
    <t>يقال انها مكررة في ايصال 346</t>
  </si>
  <si>
    <t>غسان جمعة</t>
  </si>
  <si>
    <t>تمت المراجعة</t>
  </si>
  <si>
    <t>شحن</t>
  </si>
  <si>
    <t>250شحن</t>
  </si>
  <si>
    <t>سامي العسقول</t>
  </si>
  <si>
    <t>محمد العسقول</t>
  </si>
  <si>
    <t>20تم تنزيلهم من اصل 200 لصالح غسان جمعه</t>
  </si>
  <si>
    <t>داخلها 10800 تذكرة طيران</t>
  </si>
  <si>
    <t>من العام السابق</t>
  </si>
  <si>
    <t>ثمن 11علبة مرتجع</t>
  </si>
  <si>
    <t>مرتجع بيد غانم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</si>
</sst>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0.0"/>
    <numFmt numFmtId="166" formatCode="#,##0\ [$ج.م.‏-C01]"/>
  </numFmts>
  <fonts count="2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0"/>
      <name val="Arial"/>
      <family val="2"/>
      <scheme val="minor"/>
    </font>
    <font>
      <b/>
      <u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2" tint="-0.89999084444715716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6"/>
      <color rgb="FFFF0000"/>
      <name val="Arial"/>
      <family val="2"/>
      <scheme val="minor"/>
    </font>
    <font>
      <sz val="16"/>
      <color theme="4" tint="-0.249977111117893"/>
      <name val="Arial"/>
      <family val="2"/>
      <scheme val="minor"/>
    </font>
    <font>
      <sz val="18"/>
      <color rgb="FFFF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scheme val="minor"/>
    </font>
    <font>
      <b/>
      <sz val="16"/>
      <color theme="1"/>
      <name val="Arial"/>
      <scheme val="minor"/>
    </font>
    <font>
      <b/>
      <sz val="14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4" xfId="0" applyBorder="1"/>
    <xf numFmtId="14" fontId="0" fillId="0" borderId="4" xfId="0" applyNumberFormat="1" applyBorder="1"/>
    <xf numFmtId="3" fontId="0" fillId="0" borderId="4" xfId="0" applyNumberFormat="1" applyBorder="1"/>
    <xf numFmtId="3" fontId="2" fillId="0" borderId="4" xfId="0" applyNumberFormat="1" applyFont="1" applyBorder="1"/>
    <xf numFmtId="3" fontId="0" fillId="0" borderId="5" xfId="0" applyNumberFormat="1" applyBorder="1"/>
    <xf numFmtId="0" fontId="0" fillId="0" borderId="5" xfId="0" applyBorder="1"/>
    <xf numFmtId="3" fontId="2" fillId="0" borderId="5" xfId="0" applyNumberFormat="1" applyFont="1" applyBorder="1"/>
    <xf numFmtId="3" fontId="0" fillId="4" borderId="5" xfId="0" applyNumberFormat="1" applyFill="1" applyBorder="1"/>
    <xf numFmtId="3" fontId="0" fillId="3" borderId="5" xfId="0" applyNumberFormat="1" applyFill="1" applyBorder="1"/>
    <xf numFmtId="14" fontId="0" fillId="0" borderId="5" xfId="0" applyNumberFormat="1" applyBorder="1"/>
    <xf numFmtId="0" fontId="6" fillId="0" borderId="0" xfId="0" applyFont="1"/>
    <xf numFmtId="0" fontId="7" fillId="3" borderId="5" xfId="0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3" fontId="4" fillId="2" borderId="19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0" fontId="8" fillId="5" borderId="16" xfId="0" applyFont="1" applyFill="1" applyBorder="1" applyAlignment="1">
      <alignment vertical="top" wrapText="1"/>
    </xf>
    <xf numFmtId="0" fontId="8" fillId="5" borderId="17" xfId="0" applyFont="1" applyFill="1" applyBorder="1" applyAlignment="1">
      <alignment horizontal="center" vertical="top" wrapText="1"/>
    </xf>
    <xf numFmtId="0" fontId="8" fillId="5" borderId="15" xfId="0" applyFont="1" applyFill="1" applyBorder="1" applyAlignment="1">
      <alignment horizontal="center" vertical="top" wrapText="1"/>
    </xf>
    <xf numFmtId="0" fontId="9" fillId="0" borderId="0" xfId="0" applyFont="1"/>
    <xf numFmtId="3" fontId="9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top" wrapText="1"/>
    </xf>
    <xf numFmtId="3" fontId="9" fillId="4" borderId="0" xfId="0" applyNumberFormat="1" applyFont="1" applyFill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5" fontId="7" fillId="3" borderId="5" xfId="0" applyNumberFormat="1" applyFont="1" applyFill="1" applyBorder="1" applyAlignment="1">
      <alignment horizontal="center" vertical="center"/>
    </xf>
    <xf numFmtId="3" fontId="7" fillId="3" borderId="5" xfId="0" applyNumberFormat="1" applyFont="1" applyFill="1" applyBorder="1" applyAlignment="1">
      <alignment horizontal="center" vertical="center"/>
    </xf>
    <xf numFmtId="3" fontId="9" fillId="7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4" borderId="0" xfId="0" applyFill="1"/>
    <xf numFmtId="3" fontId="15" fillId="0" borderId="0" xfId="0" applyNumberFormat="1" applyFont="1" applyAlignment="1">
      <alignment horizontal="center" vertical="center"/>
    </xf>
    <xf numFmtId="0" fontId="8" fillId="5" borderId="15" xfId="0" applyFont="1" applyFill="1" applyBorder="1" applyAlignment="1">
      <alignment horizontal="right" vertical="top" wrapText="1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vertical="top" wrapText="1"/>
    </xf>
    <xf numFmtId="166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9" fillId="0" borderId="0" xfId="0" applyFont="1" applyAlignment="1">
      <alignment horizontal="right" vertical="center"/>
    </xf>
    <xf numFmtId="14" fontId="18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 wrapText="1"/>
    </xf>
    <xf numFmtId="166" fontId="21" fillId="0" borderId="0" xfId="0" applyNumberFormat="1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64" formatCode="#,##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166" formatCode="#,##0\ [$ج.م.‏-C01]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64" formatCode="#,##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7704" cy="606448"/>
    <xdr:sp macro="" textlink="">
      <xdr:nvSpPr>
        <xdr:cNvPr id="2" name="Rectangle 1"/>
        <xdr:cNvSpPr/>
      </xdr:nvSpPr>
      <xdr:spPr>
        <a:xfrm>
          <a:off x="11232960796" y="0"/>
          <a:ext cx="2157704" cy="60644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ar-EG" sz="2000" b="1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reflection blurRad="12700" stA="28000" endPos="45000" dist="1000" dir="5400000" sy="-100000" algn="bl" rotWithShape="0"/>
              </a:effectLst>
            </a:rPr>
            <a:t>مصنع البركة</a:t>
          </a:r>
          <a:r>
            <a:rPr lang="ar-EG" sz="20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reflection blurRad="12700" stA="28000" endPos="45000" dist="1000" dir="5400000" sy="-100000" algn="bl" rotWithShape="0"/>
              </a:effectLst>
            </a:rPr>
            <a:t> للتمور</a:t>
          </a:r>
        </a:p>
        <a:p>
          <a:pPr algn="ctr"/>
          <a:r>
            <a:rPr lang="ar-EG" sz="14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reflection blurRad="12700" stA="28000" endPos="45000" dist="1000" dir="5400000" sy="-100000" algn="bl" rotWithShape="0"/>
              </a:effectLst>
            </a:rPr>
            <a:t>لتعبئه وتصنيع التمور</a:t>
          </a:r>
          <a:endParaRPr lang="en-US" sz="14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solidFill>
              <a:sysClr val="windowText" lastClr="000000"/>
            </a:soli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9" name="Table510" displayName="Table510" ref="A3:N627" totalsRowCount="1" headerRowDxfId="129" dataDxfId="128">
  <autoFilter ref="A3:N626">
    <filterColumn colId="1">
      <filters>
        <filter val="محمد توفيق"/>
      </filters>
    </filterColumn>
  </autoFilter>
  <tableColumns count="14">
    <tableColumn id="1" name="م" dataDxfId="127" totalsRowDxfId="126"/>
    <tableColumn id="2" name="الاسم" dataDxfId="125" totalsRowDxfId="124"/>
    <tableColumn id="3" name="التاريخ" totalsRowLabel="الاجمالي" dataDxfId="123" totalsRowDxfId="122"/>
    <tableColumn id="4" name="رقم الايصال" dataDxfId="121" totalsRowDxfId="120"/>
    <tableColumn id="5" name="العدد" totalsRowFunction="custom" dataDxfId="119" totalsRowDxfId="118">
      <totalsRowFormula>SUBTOTAL(9,E18:E296)</totalsRowFormula>
    </tableColumn>
    <tableColumn id="6" name="الفئة" dataDxfId="117" totalsRowDxfId="116"/>
    <tableColumn id="7" name="السعر" dataDxfId="115" totalsRowDxfId="114"/>
    <tableColumn id="14" name="خصم" dataDxfId="113" totalsRowDxfId="112"/>
    <tableColumn id="13" name="مصاريف اخرى" dataDxfId="111" totalsRowDxfId="110"/>
    <tableColumn id="8" name="الكمية" totalsRowFunction="custom" dataDxfId="109" totalsRowDxfId="108">
      <calculatedColumnFormula>Table510[[#This Row],[العدد]]*Table510[[#This Row],[الفئة]]</calculatedColumnFormula>
      <totalsRowFormula>SUBTOTAL(9,J18:J296)</totalsRowFormula>
    </tableColumn>
    <tableColumn id="9" name="اجمالي المبلغ" totalsRowFunction="custom" dataDxfId="107" totalsRowDxfId="106">
      <calculatedColumnFormula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calculatedColumnFormula>
      <totalsRowFormula>SUBTOTAL(9,Table510[اجمالي المبلغ])</totalsRowFormula>
    </tableColumn>
    <tableColumn id="10" name="المبلغ المدفوع" totalsRowFunction="custom" dataDxfId="105" totalsRowDxfId="104">
      <totalsRowFormula>SUBTOTAL(9,Table510[المبلغ المدفوع])</totalsRowFormula>
    </tableColumn>
    <tableColumn id="11" name="متبقي" totalsRowFunction="custom" dataDxfId="103" totalsRowDxfId="102">
      <calculatedColumnFormula>Table510[[#This Row],[اجمالي المبلغ]]-Table510[[#This Row],[المبلغ المدفوع]]</calculatedColumnFormula>
      <totalsRowFormula>SUBTOTAL(9,Table510[متبقي])</totalsRowFormula>
    </tableColumn>
    <tableColumn id="12" name="ملاحظات" dataDxfId="101" totalsRowDxfId="100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3:N627" totalsRowCount="1" headerRowDxfId="99" dataDxfId="98">
  <autoFilter ref="A3:N626">
    <filterColumn colId="1">
      <filters>
        <filter val="حامد بريد"/>
      </filters>
    </filterColumn>
  </autoFilter>
  <tableColumns count="14">
    <tableColumn id="1" name="م" dataDxfId="97" totalsRowDxfId="96"/>
    <tableColumn id="2" name="الاسم" dataDxfId="95" totalsRowDxfId="94"/>
    <tableColumn id="3" name="التاريخ" totalsRowLabel="الاجمالي" dataDxfId="93" totalsRowDxfId="92"/>
    <tableColumn id="4" name="رقم الايصال" dataDxfId="91" totalsRowDxfId="90"/>
    <tableColumn id="5" name="العدد" totalsRowFunction="custom" dataDxfId="89" totalsRowDxfId="88">
      <totalsRowFormula>SUBTOTAL(9,E18:E296)</totalsRowFormula>
    </tableColumn>
    <tableColumn id="6" name="الفئة" dataDxfId="87" totalsRowDxfId="86"/>
    <tableColumn id="7" name="السعر" dataDxfId="85" totalsRowDxfId="84"/>
    <tableColumn id="14" name="خصم" dataDxfId="83" totalsRowDxfId="82"/>
    <tableColumn id="13" name="مصاريف اخرى" dataDxfId="81" totalsRowDxfId="80"/>
    <tableColumn id="8" name="الكمية" totalsRowFunction="custom" dataDxfId="79" totalsRowDxfId="78">
      <calculatedColumnFormula>Table5[[#This Row],[العدد]]*Table5[[#This Row],[الفئة]]</calculatedColumnFormula>
      <totalsRowFormula>SUBTOTAL(9,Table5[الكمية])</totalsRowFormula>
    </tableColumn>
    <tableColumn id="9" name="الاجمالي" totalsRowFunction="custom" dataDxfId="77" totalsRowDxfId="76">
      <calculatedColumnFormula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calculatedColumnFormula>
      <totalsRowFormula>SUBTOTAL(9,Table5[الاجمالي])</totalsRowFormula>
    </tableColumn>
    <tableColumn id="10" name="المبلغ المدفوع" totalsRowFunction="custom" dataDxfId="75" totalsRowDxfId="74">
      <totalsRowFormula>SUBTOTAL(9,Table5[المبلغ المدفوع])</totalsRowFormula>
    </tableColumn>
    <tableColumn id="11" name="متبقي" totalsRowFunction="custom" dataDxfId="73" totalsRowDxfId="72">
      <calculatedColumnFormula>Table5[[#This Row],[الاجمالي]]-Table5[[#This Row],[المبلغ المدفوع]]</calculatedColumnFormula>
      <totalsRowFormula>SUBTOTAL(9,Table5[متبقي])</totalsRowFormula>
    </tableColumn>
    <tableColumn id="12" name="ملاحظات" dataDxfId="71" totalsRowDxfId="7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3:G13" totalsRowShown="0" headerRowDxfId="69" headerRowBorderDxfId="68" tableBorderDxfId="67">
  <autoFilter ref="A3:G13"/>
  <tableColumns count="7">
    <tableColumn id="1" name="م" dataDxfId="66"/>
    <tableColumn id="2" name="التاريخ " dataDxfId="65"/>
    <tableColumn id="3" name="رقم الايصال" dataDxfId="64"/>
    <tableColumn id="4" name="توريد بضاعة" dataDxfId="63"/>
    <tableColumn id="5" name="المبلغ المستلم" dataDxfId="62"/>
    <tableColumn id="6" name="متبقي" dataDxfId="61"/>
    <tableColumn id="7" name="ملاحظات" data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6" name="Table137" displayName="Table137" ref="A3:G18" totalsRowShown="0" headerRowDxfId="59" headerRowBorderDxfId="58" tableBorderDxfId="57">
  <autoFilter ref="A3:G18"/>
  <tableColumns count="7">
    <tableColumn id="1" name="م" dataDxfId="56"/>
    <tableColumn id="2" name="التاريخ " dataDxfId="55"/>
    <tableColumn id="3" name="رقم الايصال" dataDxfId="54"/>
    <tableColumn id="4" name="توريد بضاعة" dataDxfId="53"/>
    <tableColumn id="5" name="المبلغ المستلم" dataDxfId="52"/>
    <tableColumn id="6" name="متبقي" dataDxfId="51"/>
    <tableColumn id="7" name="ملاحظات" dataDxfId="5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8" name="Table13789" displayName="Table13789" ref="A3:G12" totalsRowShown="0" headerRowDxfId="49" headerRowBorderDxfId="48" tableBorderDxfId="47">
  <autoFilter ref="A3:G12"/>
  <tableColumns count="7">
    <tableColumn id="1" name="م" dataDxfId="46"/>
    <tableColumn id="2" name="التاريخ " dataDxfId="45"/>
    <tableColumn id="3" name="رقم الايصال" dataDxfId="44"/>
    <tableColumn id="4" name="توريد بضاعة" dataDxfId="43"/>
    <tableColumn id="5" name="المبلغ المستلم" dataDxfId="42"/>
    <tableColumn id="6" name="متبقي" dataDxfId="41"/>
    <tableColumn id="7" name="ملاحظات" dataDxfId="4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7" name="Table1378" displayName="Table1378" ref="A3:G12" totalsRowShown="0" headerRowDxfId="39" headerRowBorderDxfId="38" tableBorderDxfId="37">
  <autoFilter ref="A3:G12"/>
  <tableColumns count="7">
    <tableColumn id="1" name="م" dataDxfId="36"/>
    <tableColumn id="2" name="التاريخ " dataDxfId="35"/>
    <tableColumn id="3" name="رقم الايصال" dataDxfId="34"/>
    <tableColumn id="4" name="توريد بضاعة" dataDxfId="33"/>
    <tableColumn id="5" name="المبلغ المستلم" dataDxfId="32"/>
    <tableColumn id="6" name="متبقي" dataDxfId="31"/>
    <tableColumn id="7" name="ملاحظات" dataDxfId="3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2" name="Table13" displayName="Table13" ref="A3:G22" totalsRowShown="0" headerRowDxfId="29" headerRowBorderDxfId="28" tableBorderDxfId="27">
  <autoFilter ref="A3:G22"/>
  <tableColumns count="7">
    <tableColumn id="1" name="م" dataDxfId="26"/>
    <tableColumn id="2" name="التاريخ " dataDxfId="25"/>
    <tableColumn id="3" name="رقم الايصال" dataDxfId="24"/>
    <tableColumn id="4" name="توريد بضاعة" dataDxfId="23"/>
    <tableColumn id="5" name="المبلغ المستلم" dataDxfId="22"/>
    <tableColumn id="6" name="متبقي" dataDxfId="21"/>
    <tableColumn id="7" name="ملاحظات" dataDxfId="2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A3:G35" totalsRowShown="0" headerRowDxfId="19" headerRowBorderDxfId="18" tableBorderDxfId="17">
  <autoFilter ref="A3:G35"/>
  <tableColumns count="7">
    <tableColumn id="1" name="م" dataDxfId="16"/>
    <tableColumn id="2" name="التاريخ " dataDxfId="15"/>
    <tableColumn id="3" name="رقم الايصال" dataDxfId="14"/>
    <tableColumn id="4" name="توريد بضاعة" dataDxfId="13"/>
    <tableColumn id="5" name="المبلغ المستلم" dataDxfId="12"/>
    <tableColumn id="6" name="متبقي" dataDxfId="11"/>
    <tableColumn id="7" name="ملاحظات" dataDxfId="1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id="3" name="Table14" displayName="Table14" ref="A3:G17" totalsRowShown="0" headerRowDxfId="9" headerRowBorderDxfId="8" tableBorderDxfId="7">
  <autoFilter ref="A3:G17"/>
  <tableColumns count="7">
    <tableColumn id="1" name="م" dataDxfId="6"/>
    <tableColumn id="2" name="التاريخ " dataDxfId="5"/>
    <tableColumn id="3" name="رقم الايصال" dataDxfId="4"/>
    <tableColumn id="4" name="توريد بضاعة" dataDxfId="3"/>
    <tableColumn id="5" name="المبلغ المستلم" dataDxfId="2"/>
    <tableColumn id="6" name="متبقي" dataDxfId="1"/>
    <tableColumn id="7" name="ملاحظات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627"/>
  <sheetViews>
    <sheetView rightToLeft="1" tabSelected="1" topLeftCell="F1" zoomScale="85" zoomScaleNormal="85" workbookViewId="0">
      <selection activeCell="J631" sqref="J631"/>
    </sheetView>
  </sheetViews>
  <sheetFormatPr defaultRowHeight="20.25" x14ac:dyDescent="0.3"/>
  <cols>
    <col min="1" max="1" width="5.875" style="52" bestFit="1" customWidth="1"/>
    <col min="2" max="2" width="17.625" style="52" customWidth="1"/>
    <col min="3" max="3" width="14.75" style="52" bestFit="1" customWidth="1"/>
    <col min="4" max="4" width="7.25" style="52" hidden="1" customWidth="1"/>
    <col min="5" max="5" width="10.5" style="52" customWidth="1"/>
    <col min="6" max="6" width="9.875" style="52" customWidth="1"/>
    <col min="7" max="7" width="6.5" style="52" customWidth="1"/>
    <col min="8" max="8" width="5.25" style="52" customWidth="1"/>
    <col min="9" max="9" width="8.25" style="52" customWidth="1"/>
    <col min="10" max="10" width="11.125" style="52" bestFit="1" customWidth="1"/>
    <col min="11" max="11" width="15.875" style="52" customWidth="1"/>
    <col min="12" max="12" width="16.25" style="52" bestFit="1" customWidth="1"/>
    <col min="13" max="13" width="15.375" style="52" customWidth="1"/>
    <col min="14" max="14" width="44" style="52" bestFit="1" customWidth="1"/>
    <col min="15" max="16384" width="9" style="52"/>
  </cols>
  <sheetData>
    <row r="1" spans="1:14" ht="16.5" customHeight="1" x14ac:dyDescent="0.3"/>
    <row r="2" spans="1:14" ht="25.5" customHeight="1" x14ac:dyDescent="0.3">
      <c r="K2" s="53">
        <f>SUBTOTAL(9,Table510[اجمالي المبلغ])</f>
        <v>6280</v>
      </c>
      <c r="L2" s="53">
        <f>SUBTOTAL(9,Table510[المبلغ المدفوع])</f>
        <v>0</v>
      </c>
      <c r="M2" s="53">
        <f>SUBTOTAL(9,Table510[متبقي])</f>
        <v>6280</v>
      </c>
    </row>
    <row r="3" spans="1:14" ht="54.75" customHeight="1" x14ac:dyDescent="0.3">
      <c r="A3" s="94" t="s">
        <v>1</v>
      </c>
      <c r="B3" s="95" t="s">
        <v>13</v>
      </c>
      <c r="C3" s="95" t="s">
        <v>11</v>
      </c>
      <c r="D3" s="90" t="s">
        <v>3</v>
      </c>
      <c r="E3" s="95" t="s">
        <v>14</v>
      </c>
      <c r="F3" s="95" t="s">
        <v>15</v>
      </c>
      <c r="G3" s="95" t="s">
        <v>17</v>
      </c>
      <c r="H3" s="96" t="s">
        <v>51</v>
      </c>
      <c r="I3" s="96" t="s">
        <v>92</v>
      </c>
      <c r="J3" s="95" t="s">
        <v>16</v>
      </c>
      <c r="K3" s="95" t="s">
        <v>61</v>
      </c>
      <c r="L3" s="95" t="s">
        <v>24</v>
      </c>
      <c r="M3" s="95" t="s">
        <v>6</v>
      </c>
      <c r="N3" s="97" t="s">
        <v>7</v>
      </c>
    </row>
    <row r="4" spans="1:14" hidden="1" x14ac:dyDescent="0.3">
      <c r="A4" s="52">
        <v>1</v>
      </c>
      <c r="B4" s="55" t="s">
        <v>21</v>
      </c>
      <c r="C4" s="56">
        <v>45255</v>
      </c>
      <c r="D4" s="55">
        <v>201</v>
      </c>
      <c r="E4" s="57">
        <v>2</v>
      </c>
      <c r="F4" s="59">
        <v>5</v>
      </c>
      <c r="G4" s="57"/>
      <c r="H4" s="57"/>
      <c r="I4" s="57"/>
      <c r="J4" s="57">
        <f>Table510[[#This Row],[العدد]]*Table510[[#This Row],[الفئة]]</f>
        <v>10</v>
      </c>
      <c r="K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" s="57"/>
      <c r="M4" s="57">
        <f>Table510[[#This Row],[اجمالي المبلغ]]-Table510[[#This Row],[المبلغ المدفوع]]</f>
        <v>0</v>
      </c>
      <c r="N4" s="60"/>
    </row>
    <row r="5" spans="1:14" hidden="1" x14ac:dyDescent="0.3">
      <c r="A5" s="52">
        <f>A4+1</f>
        <v>2</v>
      </c>
      <c r="B5" s="55" t="s">
        <v>21</v>
      </c>
      <c r="C5" s="56">
        <v>45255</v>
      </c>
      <c r="D5" s="55">
        <v>201</v>
      </c>
      <c r="E5" s="57">
        <v>4</v>
      </c>
      <c r="F5" s="59">
        <v>5</v>
      </c>
      <c r="G5" s="57">
        <v>37</v>
      </c>
      <c r="H5" s="57"/>
      <c r="I5" s="57"/>
      <c r="J5" s="57">
        <f>Table510[[#This Row],[العدد]]*Table510[[#This Row],[الفئة]]</f>
        <v>20</v>
      </c>
      <c r="K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740</v>
      </c>
      <c r="L5" s="57"/>
      <c r="M5" s="57">
        <f>Table510[[#This Row],[اجمالي المبلغ]]-Table510[[#This Row],[المبلغ المدفوع]]</f>
        <v>740</v>
      </c>
      <c r="N5" s="60"/>
    </row>
    <row r="6" spans="1:14" hidden="1" x14ac:dyDescent="0.3">
      <c r="A6" s="52">
        <f t="shared" ref="A6:A69" si="0">A5+1</f>
        <v>3</v>
      </c>
      <c r="B6" s="55" t="s">
        <v>21</v>
      </c>
      <c r="C6" s="56">
        <v>45255</v>
      </c>
      <c r="D6" s="55">
        <v>201</v>
      </c>
      <c r="E6" s="57">
        <v>1</v>
      </c>
      <c r="F6" s="59">
        <v>5</v>
      </c>
      <c r="G6" s="57">
        <v>37</v>
      </c>
      <c r="H6" s="57"/>
      <c r="I6" s="57"/>
      <c r="J6" s="57">
        <f>Table510[[#This Row],[العدد]]*Table510[[#This Row],[الفئة]]</f>
        <v>5</v>
      </c>
      <c r="K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185</v>
      </c>
      <c r="L6" s="57"/>
      <c r="M6" s="57">
        <f>Table510[[#This Row],[اجمالي المبلغ]]-Table510[[#This Row],[المبلغ المدفوع]]</f>
        <v>185</v>
      </c>
      <c r="N6" s="60"/>
    </row>
    <row r="7" spans="1:14" hidden="1" x14ac:dyDescent="0.3">
      <c r="A7" s="52">
        <f t="shared" si="0"/>
        <v>4</v>
      </c>
      <c r="B7" s="55" t="s">
        <v>21</v>
      </c>
      <c r="C7" s="56">
        <v>45255</v>
      </c>
      <c r="D7" s="55">
        <v>201</v>
      </c>
      <c r="E7" s="57">
        <v>1</v>
      </c>
      <c r="F7" s="59">
        <v>5</v>
      </c>
      <c r="G7" s="57">
        <v>38</v>
      </c>
      <c r="H7" s="57"/>
      <c r="I7" s="57"/>
      <c r="J7" s="57">
        <f>Table510[[#This Row],[العدد]]*Table510[[#This Row],[الفئة]]</f>
        <v>5</v>
      </c>
      <c r="K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</v>
      </c>
      <c r="L7" s="57"/>
      <c r="M7" s="57">
        <f>Table510[[#This Row],[اجمالي المبلغ]]-Table510[[#This Row],[المبلغ المدفوع]]</f>
        <v>190</v>
      </c>
      <c r="N7" s="60"/>
    </row>
    <row r="8" spans="1:14" hidden="1" x14ac:dyDescent="0.3">
      <c r="A8" s="52">
        <f t="shared" si="0"/>
        <v>5</v>
      </c>
      <c r="B8" s="55"/>
      <c r="C8" s="56"/>
      <c r="D8" s="55"/>
      <c r="E8" s="57"/>
      <c r="F8" s="59"/>
      <c r="G8" s="57"/>
      <c r="H8" s="57"/>
      <c r="I8" s="57"/>
      <c r="J8" s="57">
        <f>Table510[[#This Row],[العدد]]*Table510[[#This Row],[الفئة]]</f>
        <v>0</v>
      </c>
      <c r="K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8" s="57"/>
      <c r="M8" s="57">
        <f>Table510[[#This Row],[اجمالي المبلغ]]-Table510[[#This Row],[المبلغ المدفوع]]</f>
        <v>0</v>
      </c>
      <c r="N8" s="60"/>
    </row>
    <row r="9" spans="1:14" hidden="1" x14ac:dyDescent="0.3">
      <c r="A9" s="52">
        <f t="shared" si="0"/>
        <v>6</v>
      </c>
      <c r="B9" s="55" t="s">
        <v>22</v>
      </c>
      <c r="C9" s="56">
        <v>45256</v>
      </c>
      <c r="D9" s="55">
        <v>202</v>
      </c>
      <c r="E9" s="57">
        <v>4</v>
      </c>
      <c r="F9" s="59">
        <v>5</v>
      </c>
      <c r="G9" s="57">
        <v>37</v>
      </c>
      <c r="H9" s="57"/>
      <c r="I9" s="57"/>
      <c r="J9" s="57">
        <f>Table510[[#This Row],[العدد]]*Table510[[#This Row],[الفئة]]</f>
        <v>20</v>
      </c>
      <c r="K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740</v>
      </c>
      <c r="L9" s="57"/>
      <c r="M9" s="57">
        <f>Table510[[#This Row],[اجمالي المبلغ]]-Table510[[#This Row],[المبلغ المدفوع]]</f>
        <v>740</v>
      </c>
      <c r="N9" s="60"/>
    </row>
    <row r="10" spans="1:14" hidden="1" x14ac:dyDescent="0.3">
      <c r="A10" s="52">
        <f t="shared" si="0"/>
        <v>7</v>
      </c>
      <c r="B10" s="55"/>
      <c r="C10" s="56"/>
      <c r="D10" s="55"/>
      <c r="E10" s="57"/>
      <c r="F10" s="59"/>
      <c r="G10" s="57"/>
      <c r="H10" s="57"/>
      <c r="I10" s="57"/>
      <c r="J10" s="57">
        <f>Table510[[#This Row],[العدد]]*Table510[[#This Row],[الفئة]]</f>
        <v>0</v>
      </c>
      <c r="K1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0" s="57"/>
      <c r="M10" s="57">
        <f>Table510[[#This Row],[اجمالي المبلغ]]-Table510[[#This Row],[المبلغ المدفوع]]</f>
        <v>0</v>
      </c>
      <c r="N10" s="60"/>
    </row>
    <row r="11" spans="1:14" hidden="1" x14ac:dyDescent="0.3">
      <c r="A11" s="52">
        <f t="shared" si="0"/>
        <v>8</v>
      </c>
      <c r="B11" s="55" t="s">
        <v>23</v>
      </c>
      <c r="C11" s="56">
        <v>45257</v>
      </c>
      <c r="D11" s="55">
        <v>203</v>
      </c>
      <c r="E11" s="57">
        <v>60</v>
      </c>
      <c r="F11" s="59">
        <v>5</v>
      </c>
      <c r="G11" s="57">
        <v>36</v>
      </c>
      <c r="H11" s="57"/>
      <c r="I11" s="57"/>
      <c r="J11" s="57">
        <f>Table510[[#This Row],[العدد]]*Table510[[#This Row],[الفئة]]</f>
        <v>300</v>
      </c>
      <c r="K1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10800</v>
      </c>
      <c r="L11" s="57">
        <v>10800</v>
      </c>
      <c r="M11" s="57">
        <f>Table510[[#This Row],[اجمالي المبلغ]]-Table510[[#This Row],[المبلغ المدفوع]]</f>
        <v>0</v>
      </c>
      <c r="N11" s="60"/>
    </row>
    <row r="12" spans="1:14" hidden="1" x14ac:dyDescent="0.3">
      <c r="A12" s="52">
        <f t="shared" si="0"/>
        <v>9</v>
      </c>
      <c r="B12" s="55"/>
      <c r="C12" s="56"/>
      <c r="D12" s="55"/>
      <c r="E12" s="57"/>
      <c r="F12" s="59"/>
      <c r="G12" s="57"/>
      <c r="H12" s="57"/>
      <c r="I12" s="57"/>
      <c r="J12" s="57">
        <f>Table510[[#This Row],[العدد]]*Table510[[#This Row],[الفئة]]</f>
        <v>0</v>
      </c>
      <c r="K1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" s="57"/>
      <c r="M12" s="57">
        <f>Table510[[#This Row],[اجمالي المبلغ]]-Table510[[#This Row],[المبلغ المدفوع]]</f>
        <v>0</v>
      </c>
      <c r="N12" s="60"/>
    </row>
    <row r="13" spans="1:14" hidden="1" x14ac:dyDescent="0.3">
      <c r="A13" s="52">
        <f t="shared" si="0"/>
        <v>10</v>
      </c>
      <c r="B13" s="55" t="s">
        <v>28</v>
      </c>
      <c r="C13" s="56">
        <v>45261</v>
      </c>
      <c r="D13" s="55">
        <v>204</v>
      </c>
      <c r="E13" s="57">
        <v>25</v>
      </c>
      <c r="F13" s="59">
        <v>5</v>
      </c>
      <c r="G13" s="57">
        <v>37</v>
      </c>
      <c r="H13" s="57"/>
      <c r="I13" s="57"/>
      <c r="J13" s="57">
        <f>Table510[[#This Row],[العدد]]*Table510[[#This Row],[الفئة]]</f>
        <v>125</v>
      </c>
      <c r="K1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4625</v>
      </c>
      <c r="L13" s="57">
        <v>4625</v>
      </c>
      <c r="M13" s="57">
        <f>Table510[[#This Row],[اجمالي المبلغ]]-Table510[[#This Row],[المبلغ المدفوع]]</f>
        <v>0</v>
      </c>
      <c r="N13" s="60"/>
    </row>
    <row r="14" spans="1:14" hidden="1" x14ac:dyDescent="0.3">
      <c r="A14" s="52">
        <f t="shared" si="0"/>
        <v>11</v>
      </c>
      <c r="B14" s="55" t="s">
        <v>28</v>
      </c>
      <c r="C14" s="56">
        <v>45261</v>
      </c>
      <c r="D14" s="55">
        <v>204</v>
      </c>
      <c r="E14" s="57">
        <v>4</v>
      </c>
      <c r="F14" s="59">
        <v>5</v>
      </c>
      <c r="G14" s="57">
        <v>37</v>
      </c>
      <c r="H14" s="57"/>
      <c r="I14" s="57"/>
      <c r="J14" s="57">
        <f>Table510[[#This Row],[العدد]]*Table510[[#This Row],[الفئة]]</f>
        <v>20</v>
      </c>
      <c r="K1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740</v>
      </c>
      <c r="L14" s="57">
        <v>740</v>
      </c>
      <c r="M14" s="57">
        <f>Table510[[#This Row],[اجمالي المبلغ]]-Table510[[#This Row],[المبلغ المدفوع]]</f>
        <v>0</v>
      </c>
      <c r="N14" s="60"/>
    </row>
    <row r="15" spans="1:14" hidden="1" x14ac:dyDescent="0.3">
      <c r="A15" s="52">
        <f t="shared" si="0"/>
        <v>12</v>
      </c>
      <c r="B15" s="55" t="s">
        <v>28</v>
      </c>
      <c r="C15" s="56">
        <v>45261</v>
      </c>
      <c r="D15" s="55">
        <v>204</v>
      </c>
      <c r="E15" s="57">
        <v>3</v>
      </c>
      <c r="F15" s="59">
        <v>2</v>
      </c>
      <c r="G15" s="57">
        <v>35</v>
      </c>
      <c r="H15" s="57"/>
      <c r="I15" s="57"/>
      <c r="J15" s="57">
        <f>Table510[[#This Row],[العدد]]*Table510[[#This Row],[الفئة]]</f>
        <v>6</v>
      </c>
      <c r="K1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210</v>
      </c>
      <c r="L15" s="57">
        <v>210</v>
      </c>
      <c r="M15" s="57">
        <f>Table510[[#This Row],[اجمالي المبلغ]]-Table510[[#This Row],[المبلغ المدفوع]]</f>
        <v>0</v>
      </c>
      <c r="N15" s="60"/>
    </row>
    <row r="16" spans="1:14" hidden="1" x14ac:dyDescent="0.3">
      <c r="A16" s="52">
        <f t="shared" si="0"/>
        <v>13</v>
      </c>
      <c r="B16" s="55" t="s">
        <v>28</v>
      </c>
      <c r="C16" s="56">
        <v>45261</v>
      </c>
      <c r="D16" s="55">
        <v>204</v>
      </c>
      <c r="E16" s="57">
        <v>3</v>
      </c>
      <c r="F16" s="59">
        <v>0.8</v>
      </c>
      <c r="G16" s="57">
        <v>35</v>
      </c>
      <c r="H16" s="57"/>
      <c r="I16" s="57"/>
      <c r="J16" s="57">
        <f>Table510[[#This Row],[العدد]]*Table510[[#This Row],[الفئة]]</f>
        <v>2.4000000000000004</v>
      </c>
      <c r="K1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105</v>
      </c>
      <c r="L16" s="57">
        <v>84.000000000000014</v>
      </c>
      <c r="M16" s="57">
        <f>Table510[[#This Row],[اجمالي المبلغ]]-Table510[[#This Row],[المبلغ المدفوع]]</f>
        <v>20.999999999999986</v>
      </c>
      <c r="N16" s="60"/>
    </row>
    <row r="17" spans="1:14" hidden="1" x14ac:dyDescent="0.3">
      <c r="A17" s="52">
        <f t="shared" si="0"/>
        <v>14</v>
      </c>
      <c r="B17" s="55"/>
      <c r="C17" s="56"/>
      <c r="D17" s="55"/>
      <c r="E17" s="57"/>
      <c r="F17" s="59"/>
      <c r="G17" s="57"/>
      <c r="H17" s="57"/>
      <c r="I17" s="57"/>
      <c r="J17" s="57">
        <f>Table510[[#This Row],[العدد]]*Table510[[#This Row],[الفئة]]</f>
        <v>0</v>
      </c>
      <c r="K1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7" s="57"/>
      <c r="M17" s="57">
        <f>Table510[[#This Row],[اجمالي المبلغ]]-Table510[[#This Row],[المبلغ المدفوع]]</f>
        <v>0</v>
      </c>
      <c r="N17" s="60"/>
    </row>
    <row r="18" spans="1:14" hidden="1" x14ac:dyDescent="0.3">
      <c r="A18" s="52">
        <f t="shared" si="0"/>
        <v>15</v>
      </c>
      <c r="B18" s="55" t="s">
        <v>29</v>
      </c>
      <c r="C18" s="56">
        <v>45263</v>
      </c>
      <c r="D18" s="55"/>
      <c r="E18" s="57">
        <v>55</v>
      </c>
      <c r="F18" s="59">
        <v>5</v>
      </c>
      <c r="G18" s="57">
        <v>38</v>
      </c>
      <c r="H18" s="57"/>
      <c r="I18" s="57"/>
      <c r="J18" s="57">
        <f>Table510[[#This Row],[العدد]]*Table510[[#This Row],[الفئة]]</f>
        <v>275</v>
      </c>
      <c r="K1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10450</v>
      </c>
      <c r="L18" s="57">
        <v>45000</v>
      </c>
      <c r="M18" s="57">
        <f>Table510[[#This Row],[اجمالي المبلغ]]-Table510[[#This Row],[المبلغ المدفوع]]</f>
        <v>-34550</v>
      </c>
      <c r="N18" s="60"/>
    </row>
    <row r="19" spans="1:14" hidden="1" x14ac:dyDescent="0.3">
      <c r="A19" s="52">
        <f t="shared" si="0"/>
        <v>16</v>
      </c>
      <c r="B19" s="55"/>
      <c r="C19" s="56"/>
      <c r="D19" s="55"/>
      <c r="E19" s="57"/>
      <c r="F19" s="59">
        <v>5</v>
      </c>
      <c r="G19" s="57"/>
      <c r="H19" s="57"/>
      <c r="I19" s="57"/>
      <c r="J19" s="57">
        <f>Table510[[#This Row],[العدد]]*Table510[[#This Row],[الفئة]]</f>
        <v>0</v>
      </c>
      <c r="K1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9" s="57"/>
      <c r="M19" s="57">
        <f>Table510[[#This Row],[اجمالي المبلغ]]-Table510[[#This Row],[المبلغ المدفوع]]</f>
        <v>0</v>
      </c>
      <c r="N19" s="60"/>
    </row>
    <row r="20" spans="1:14" hidden="1" x14ac:dyDescent="0.3">
      <c r="A20" s="52">
        <f t="shared" si="0"/>
        <v>17</v>
      </c>
      <c r="B20" s="55" t="s">
        <v>30</v>
      </c>
      <c r="C20" s="56">
        <v>45268</v>
      </c>
      <c r="D20" s="55"/>
      <c r="E20" s="57">
        <v>4</v>
      </c>
      <c r="F20" s="59">
        <v>5</v>
      </c>
      <c r="G20" s="57">
        <v>37</v>
      </c>
      <c r="H20" s="57"/>
      <c r="I20" s="57"/>
      <c r="J20" s="57">
        <f>Table510[[#This Row],[العدد]]*Table510[[#This Row],[الفئة]]</f>
        <v>20</v>
      </c>
      <c r="K2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740</v>
      </c>
      <c r="L20" s="57">
        <v>740</v>
      </c>
      <c r="M20" s="57">
        <f>Table510[[#This Row],[اجمالي المبلغ]]-Table510[[#This Row],[المبلغ المدفوع]]</f>
        <v>0</v>
      </c>
      <c r="N20" s="60"/>
    </row>
    <row r="21" spans="1:14" hidden="1" x14ac:dyDescent="0.3">
      <c r="A21" s="52">
        <f t="shared" si="0"/>
        <v>18</v>
      </c>
      <c r="B21" s="55" t="s">
        <v>30</v>
      </c>
      <c r="C21" s="56">
        <v>45268</v>
      </c>
      <c r="D21" s="55"/>
      <c r="E21" s="57">
        <v>19</v>
      </c>
      <c r="F21" s="59">
        <v>5</v>
      </c>
      <c r="G21" s="57">
        <v>35</v>
      </c>
      <c r="H21" s="57"/>
      <c r="I21" s="57"/>
      <c r="J21" s="57">
        <f>Table510[[#This Row],[العدد]]*Table510[[#This Row],[الفئة]]</f>
        <v>95</v>
      </c>
      <c r="K2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3325</v>
      </c>
      <c r="L21" s="57">
        <v>532</v>
      </c>
      <c r="M21" s="57">
        <f>Table510[[#This Row],[اجمالي المبلغ]]-Table510[[#This Row],[المبلغ المدفوع]]</f>
        <v>2793</v>
      </c>
      <c r="N21" s="60"/>
    </row>
    <row r="22" spans="1:14" hidden="1" x14ac:dyDescent="0.3">
      <c r="A22" s="52">
        <f t="shared" si="0"/>
        <v>19</v>
      </c>
      <c r="B22" s="55" t="s">
        <v>30</v>
      </c>
      <c r="C22" s="56">
        <v>45268</v>
      </c>
      <c r="D22" s="55"/>
      <c r="E22" s="57">
        <v>6</v>
      </c>
      <c r="F22" s="59">
        <v>5</v>
      </c>
      <c r="G22" s="57">
        <v>35</v>
      </c>
      <c r="H22" s="57"/>
      <c r="I22" s="57"/>
      <c r="J22" s="57">
        <f>Table510[[#This Row],[العدد]]*Table510[[#This Row],[الفئة]]</f>
        <v>30</v>
      </c>
      <c r="K2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1050</v>
      </c>
      <c r="L22" s="57">
        <v>420</v>
      </c>
      <c r="M22" s="57">
        <f>Table510[[#This Row],[اجمالي المبلغ]]-Table510[[#This Row],[المبلغ المدفوع]]</f>
        <v>630</v>
      </c>
      <c r="N22" s="60"/>
    </row>
    <row r="23" spans="1:14" hidden="1" x14ac:dyDescent="0.3">
      <c r="A23" s="52">
        <f t="shared" si="0"/>
        <v>20</v>
      </c>
      <c r="B23" s="55"/>
      <c r="C23" s="56"/>
      <c r="D23" s="55"/>
      <c r="E23" s="57"/>
      <c r="F23" s="59">
        <v>5</v>
      </c>
      <c r="G23" s="57"/>
      <c r="H23" s="57"/>
      <c r="I23" s="57"/>
      <c r="J23" s="57">
        <f>Table510[[#This Row],[العدد]]*Table510[[#This Row],[الفئة]]</f>
        <v>0</v>
      </c>
      <c r="K2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3" s="57">
        <f>Table510[[#This Row],[اجمالي المبلغ]]</f>
        <v>0</v>
      </c>
      <c r="M23" s="57">
        <f>Table510[[#This Row],[اجمالي المبلغ]]-Table510[[#This Row],[المبلغ المدفوع]]</f>
        <v>0</v>
      </c>
      <c r="N23" s="60"/>
    </row>
    <row r="24" spans="1:14" hidden="1" x14ac:dyDescent="0.3">
      <c r="A24" s="52">
        <f t="shared" si="0"/>
        <v>21</v>
      </c>
      <c r="B24" s="55" t="s">
        <v>31</v>
      </c>
      <c r="C24" s="56">
        <v>45269</v>
      </c>
      <c r="D24" s="55"/>
      <c r="E24" s="57">
        <v>6</v>
      </c>
      <c r="F24" s="59">
        <v>5</v>
      </c>
      <c r="G24" s="57">
        <v>37</v>
      </c>
      <c r="H24" s="57"/>
      <c r="I24" s="57"/>
      <c r="J24" s="57">
        <f>Table510[[#This Row],[العدد]]*Table510[[#This Row],[الفئة]]</f>
        <v>30</v>
      </c>
      <c r="K2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1110</v>
      </c>
      <c r="L24" s="57">
        <f>Table510[[#This Row],[اجمالي المبلغ]]</f>
        <v>1110</v>
      </c>
      <c r="M24" s="57">
        <f>Table510[[#This Row],[اجمالي المبلغ]]-Table510[[#This Row],[المبلغ المدفوع]]</f>
        <v>0</v>
      </c>
      <c r="N24" s="60"/>
    </row>
    <row r="25" spans="1:14" hidden="1" x14ac:dyDescent="0.3">
      <c r="A25" s="52">
        <f t="shared" si="0"/>
        <v>22</v>
      </c>
      <c r="B25" s="55" t="s">
        <v>31</v>
      </c>
      <c r="C25" s="56">
        <v>45269</v>
      </c>
      <c r="D25" s="55"/>
      <c r="E25" s="57">
        <v>6</v>
      </c>
      <c r="F25" s="59">
        <v>5</v>
      </c>
      <c r="G25" s="57">
        <v>35</v>
      </c>
      <c r="H25" s="57"/>
      <c r="I25" s="57"/>
      <c r="J25" s="57">
        <f>Table510[[#This Row],[العدد]]*Table510[[#This Row],[الفئة]]</f>
        <v>30</v>
      </c>
      <c r="K2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1050</v>
      </c>
      <c r="L25" s="57">
        <f>Table510[[#This Row],[اجمالي المبلغ]]</f>
        <v>1050</v>
      </c>
      <c r="M25" s="57">
        <f>Table510[[#This Row],[اجمالي المبلغ]]-Table510[[#This Row],[المبلغ المدفوع]]</f>
        <v>0</v>
      </c>
      <c r="N25" s="60"/>
    </row>
    <row r="26" spans="1:14" hidden="1" x14ac:dyDescent="0.3">
      <c r="A26" s="52">
        <f t="shared" si="0"/>
        <v>23</v>
      </c>
      <c r="B26" s="55" t="s">
        <v>31</v>
      </c>
      <c r="C26" s="56">
        <v>45269</v>
      </c>
      <c r="D26" s="55"/>
      <c r="E26" s="57">
        <v>2</v>
      </c>
      <c r="F26" s="59">
        <v>5</v>
      </c>
      <c r="G26" s="57">
        <v>38</v>
      </c>
      <c r="H26" s="57"/>
      <c r="I26" s="57"/>
      <c r="J26" s="57">
        <f>Table510[[#This Row],[العدد]]*Table510[[#This Row],[الفئة]]</f>
        <v>10</v>
      </c>
      <c r="K2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</v>
      </c>
      <c r="L26" s="57">
        <f>Table510[[#This Row],[اجمالي المبلغ]]</f>
        <v>380</v>
      </c>
      <c r="M26" s="57">
        <f>Table510[[#This Row],[اجمالي المبلغ]]-Table510[[#This Row],[المبلغ المدفوع]]</f>
        <v>0</v>
      </c>
      <c r="N26" s="60"/>
    </row>
    <row r="27" spans="1:14" hidden="1" x14ac:dyDescent="0.3">
      <c r="A27" s="52">
        <f t="shared" si="0"/>
        <v>24</v>
      </c>
      <c r="B27" s="55" t="s">
        <v>31</v>
      </c>
      <c r="C27" s="56">
        <v>45269</v>
      </c>
      <c r="D27" s="55"/>
      <c r="E27" s="57">
        <v>4</v>
      </c>
      <c r="F27" s="59">
        <v>5</v>
      </c>
      <c r="G27" s="57">
        <v>38</v>
      </c>
      <c r="H27" s="57"/>
      <c r="I27" s="57"/>
      <c r="J27" s="57">
        <f>Table510[[#This Row],[العدد]]*Table510[[#This Row],[الفئة]]</f>
        <v>20</v>
      </c>
      <c r="K2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</v>
      </c>
      <c r="L27" s="57">
        <f>Table510[[#This Row],[اجمالي المبلغ]]</f>
        <v>760</v>
      </c>
      <c r="M27" s="57">
        <f>Table510[[#This Row],[اجمالي المبلغ]]-Table510[[#This Row],[المبلغ المدفوع]]</f>
        <v>0</v>
      </c>
      <c r="N27" s="60"/>
    </row>
    <row r="28" spans="1:14" hidden="1" x14ac:dyDescent="0.3">
      <c r="A28" s="52">
        <f t="shared" si="0"/>
        <v>25</v>
      </c>
      <c r="B28" s="55"/>
      <c r="C28" s="56"/>
      <c r="D28" s="55"/>
      <c r="E28" s="57"/>
      <c r="F28" s="59">
        <v>5</v>
      </c>
      <c r="G28" s="57"/>
      <c r="H28" s="57"/>
      <c r="I28" s="57"/>
      <c r="J28" s="57">
        <f>Table510[[#This Row],[العدد]]*Table510[[#This Row],[الفئة]]</f>
        <v>0</v>
      </c>
      <c r="K2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8" s="57">
        <f>Table510[[#This Row],[اجمالي المبلغ]]</f>
        <v>0</v>
      </c>
      <c r="M28" s="57">
        <f>Table510[[#This Row],[اجمالي المبلغ]]-Table510[[#This Row],[المبلغ المدفوع]]</f>
        <v>0</v>
      </c>
      <c r="N28" s="60"/>
    </row>
    <row r="29" spans="1:14" hidden="1" x14ac:dyDescent="0.3">
      <c r="A29" s="52">
        <f t="shared" si="0"/>
        <v>26</v>
      </c>
      <c r="B29" s="55" t="s">
        <v>28</v>
      </c>
      <c r="C29" s="56">
        <v>45269</v>
      </c>
      <c r="D29" s="55"/>
      <c r="E29" s="57">
        <v>3</v>
      </c>
      <c r="F29" s="59">
        <v>5</v>
      </c>
      <c r="G29" s="57">
        <v>37</v>
      </c>
      <c r="H29" s="57"/>
      <c r="I29" s="57"/>
      <c r="J29" s="57">
        <f>Table510[[#This Row],[العدد]]*Table510[[#This Row],[الفئة]]</f>
        <v>15</v>
      </c>
      <c r="K2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555</v>
      </c>
      <c r="L29" s="57">
        <f>Table510[[#This Row],[اجمالي المبلغ]]</f>
        <v>555</v>
      </c>
      <c r="M29" s="57">
        <f>Table510[[#This Row],[اجمالي المبلغ]]-Table510[[#This Row],[المبلغ المدفوع]]</f>
        <v>0</v>
      </c>
      <c r="N29" s="60"/>
    </row>
    <row r="30" spans="1:14" hidden="1" x14ac:dyDescent="0.3">
      <c r="A30" s="52">
        <f t="shared" si="0"/>
        <v>27</v>
      </c>
      <c r="B30" s="55" t="s">
        <v>28</v>
      </c>
      <c r="C30" s="56">
        <v>45269</v>
      </c>
      <c r="D30" s="55"/>
      <c r="E30" s="57">
        <v>2</v>
      </c>
      <c r="F30" s="59">
        <v>5</v>
      </c>
      <c r="G30" s="57">
        <v>35</v>
      </c>
      <c r="H30" s="57"/>
      <c r="I30" s="57"/>
      <c r="J30" s="57">
        <f>Table510[[#This Row],[العدد]]*Table510[[#This Row],[الفئة]]</f>
        <v>10</v>
      </c>
      <c r="K3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350</v>
      </c>
      <c r="L30" s="57">
        <f>Table510[[#This Row],[اجمالي المبلغ]]</f>
        <v>350</v>
      </c>
      <c r="M30" s="57">
        <f>Table510[[#This Row],[اجمالي المبلغ]]-Table510[[#This Row],[المبلغ المدفوع]]</f>
        <v>0</v>
      </c>
      <c r="N30" s="60"/>
    </row>
    <row r="31" spans="1:14" hidden="1" x14ac:dyDescent="0.3">
      <c r="A31" s="52">
        <f t="shared" si="0"/>
        <v>28</v>
      </c>
      <c r="B31" s="55"/>
      <c r="C31" s="56"/>
      <c r="D31" s="55"/>
      <c r="E31" s="57"/>
      <c r="F31" s="59">
        <v>5</v>
      </c>
      <c r="G31" s="57"/>
      <c r="H31" s="57"/>
      <c r="I31" s="57"/>
      <c r="J31" s="57">
        <f>Table510[[#This Row],[العدد]]*Table510[[#This Row],[الفئة]]</f>
        <v>0</v>
      </c>
      <c r="K3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1" s="57">
        <f>Table510[[#This Row],[اجمالي المبلغ]]</f>
        <v>0</v>
      </c>
      <c r="M31" s="57">
        <f>Table510[[#This Row],[اجمالي المبلغ]]-Table510[[#This Row],[المبلغ المدفوع]]</f>
        <v>0</v>
      </c>
      <c r="N31" s="60"/>
    </row>
    <row r="32" spans="1:14" hidden="1" x14ac:dyDescent="0.3">
      <c r="A32" s="52">
        <f t="shared" si="0"/>
        <v>29</v>
      </c>
      <c r="B32" s="55" t="s">
        <v>33</v>
      </c>
      <c r="C32" s="56">
        <v>45269</v>
      </c>
      <c r="D32" s="55"/>
      <c r="E32" s="57">
        <v>3</v>
      </c>
      <c r="F32" s="59">
        <v>5</v>
      </c>
      <c r="G32" s="57">
        <v>35</v>
      </c>
      <c r="H32" s="57"/>
      <c r="I32" s="57"/>
      <c r="J32" s="57">
        <f>Table510[[#This Row],[العدد]]*Table510[[#This Row],[الفئة]]</f>
        <v>15</v>
      </c>
      <c r="K3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525</v>
      </c>
      <c r="L32" s="57">
        <f>Table510[[#This Row],[اجمالي المبلغ]]</f>
        <v>525</v>
      </c>
      <c r="M32" s="57">
        <f>Table510[[#This Row],[اجمالي المبلغ]]-Table510[[#This Row],[المبلغ المدفوع]]</f>
        <v>0</v>
      </c>
      <c r="N32" s="60" t="s">
        <v>34</v>
      </c>
    </row>
    <row r="33" spans="1:14" hidden="1" x14ac:dyDescent="0.3">
      <c r="A33" s="52">
        <f t="shared" si="0"/>
        <v>30</v>
      </c>
      <c r="B33" s="55" t="s">
        <v>33</v>
      </c>
      <c r="C33" s="56">
        <v>45270</v>
      </c>
      <c r="D33" s="55"/>
      <c r="E33" s="57">
        <v>2</v>
      </c>
      <c r="F33" s="59">
        <v>5</v>
      </c>
      <c r="G33" s="57">
        <v>35</v>
      </c>
      <c r="H33" s="57"/>
      <c r="I33" s="57"/>
      <c r="J33" s="57">
        <f>Table510[[#This Row],[العدد]]*Table510[[#This Row],[الفئة]]</f>
        <v>10</v>
      </c>
      <c r="K3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350</v>
      </c>
      <c r="L33" s="57">
        <f>Table510[[#This Row],[اجمالي المبلغ]]</f>
        <v>350</v>
      </c>
      <c r="M33" s="57">
        <f>Table510[[#This Row],[اجمالي المبلغ]]-Table510[[#This Row],[المبلغ المدفوع]]</f>
        <v>0</v>
      </c>
      <c r="N33" s="60"/>
    </row>
    <row r="34" spans="1:14" hidden="1" x14ac:dyDescent="0.3">
      <c r="A34" s="52">
        <f t="shared" si="0"/>
        <v>31</v>
      </c>
      <c r="B34" s="55"/>
      <c r="C34" s="56"/>
      <c r="D34" s="55"/>
      <c r="E34" s="57"/>
      <c r="F34" s="59">
        <v>5</v>
      </c>
      <c r="G34" s="57"/>
      <c r="H34" s="57"/>
      <c r="I34" s="57"/>
      <c r="J34" s="57">
        <f>Table510[[#This Row],[العدد]]*Table510[[#This Row],[الفئة]]</f>
        <v>0</v>
      </c>
      <c r="K3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4" s="57">
        <f>Table510[[#This Row],[اجمالي المبلغ]]</f>
        <v>0</v>
      </c>
      <c r="M34" s="57">
        <f>Table510[[#This Row],[اجمالي المبلغ]]-Table510[[#This Row],[المبلغ المدفوع]]</f>
        <v>0</v>
      </c>
      <c r="N34" s="60"/>
    </row>
    <row r="35" spans="1:14" hidden="1" x14ac:dyDescent="0.3">
      <c r="A35" s="52">
        <f t="shared" si="0"/>
        <v>32</v>
      </c>
      <c r="B35" s="55" t="s">
        <v>35</v>
      </c>
      <c r="C35" s="56">
        <v>45271</v>
      </c>
      <c r="D35" s="55"/>
      <c r="E35" s="57">
        <v>1</v>
      </c>
      <c r="F35" s="59">
        <v>5</v>
      </c>
      <c r="G35" s="57">
        <v>38</v>
      </c>
      <c r="H35" s="57"/>
      <c r="I35" s="57"/>
      <c r="J35" s="57">
        <f>Table510[[#This Row],[العدد]]*Table510[[#This Row],[الفئة]]</f>
        <v>5</v>
      </c>
      <c r="K3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</v>
      </c>
      <c r="L35" s="57">
        <f>Table510[[#This Row],[اجمالي المبلغ]]</f>
        <v>190</v>
      </c>
      <c r="M35" s="57">
        <f>Table510[[#This Row],[اجمالي المبلغ]]-Table510[[#This Row],[المبلغ المدفوع]]</f>
        <v>0</v>
      </c>
      <c r="N35" s="60"/>
    </row>
    <row r="36" spans="1:14" hidden="1" x14ac:dyDescent="0.3">
      <c r="A36" s="52">
        <f t="shared" si="0"/>
        <v>33</v>
      </c>
      <c r="B36" s="55"/>
      <c r="C36" s="56"/>
      <c r="D36" s="55"/>
      <c r="E36" s="57"/>
      <c r="F36" s="59">
        <v>5</v>
      </c>
      <c r="G36" s="57"/>
      <c r="H36" s="57"/>
      <c r="I36" s="57"/>
      <c r="J36" s="57">
        <f>Table510[[#This Row],[العدد]]*Table510[[#This Row],[الفئة]]</f>
        <v>0</v>
      </c>
      <c r="K3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6" s="57">
        <f>Table510[[#This Row],[اجمالي المبلغ]]</f>
        <v>0</v>
      </c>
      <c r="M36" s="57">
        <f>Table510[[#This Row],[اجمالي المبلغ]]-Table510[[#This Row],[المبلغ المدفوع]]</f>
        <v>0</v>
      </c>
      <c r="N36" s="60"/>
    </row>
    <row r="37" spans="1:14" hidden="1" x14ac:dyDescent="0.3">
      <c r="A37" s="52">
        <f t="shared" si="0"/>
        <v>34</v>
      </c>
      <c r="B37" s="55" t="s">
        <v>22</v>
      </c>
      <c r="C37" s="56">
        <v>45274</v>
      </c>
      <c r="D37" s="55"/>
      <c r="E37" s="57">
        <v>3</v>
      </c>
      <c r="F37" s="59">
        <v>5</v>
      </c>
      <c r="G37" s="57">
        <v>38</v>
      </c>
      <c r="H37" s="57"/>
      <c r="I37" s="57"/>
      <c r="J37" s="57">
        <f>Table510[[#This Row],[العدد]]*Table510[[#This Row],[الفئة]]</f>
        <v>15</v>
      </c>
      <c r="K3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</v>
      </c>
      <c r="L37" s="57">
        <f>Table510[[#This Row],[اجمالي المبلغ]]</f>
        <v>570</v>
      </c>
      <c r="M37" s="57">
        <f>Table510[[#This Row],[اجمالي المبلغ]]-Table510[[#This Row],[المبلغ المدفوع]]</f>
        <v>0</v>
      </c>
      <c r="N37" s="60"/>
    </row>
    <row r="38" spans="1:14" hidden="1" x14ac:dyDescent="0.3">
      <c r="A38" s="52">
        <f t="shared" si="0"/>
        <v>35</v>
      </c>
      <c r="B38" s="55"/>
      <c r="C38" s="56"/>
      <c r="D38" s="55"/>
      <c r="E38" s="57"/>
      <c r="F38" s="59">
        <v>5</v>
      </c>
      <c r="G38" s="57"/>
      <c r="H38" s="57"/>
      <c r="I38" s="57"/>
      <c r="J38" s="57">
        <f>Table510[[#This Row],[العدد]]*Table510[[#This Row],[الفئة]]</f>
        <v>0</v>
      </c>
      <c r="K3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8" s="57"/>
      <c r="M38" s="57">
        <f>Table510[[#This Row],[اجمالي المبلغ]]-Table510[[#This Row],[المبلغ المدفوع]]</f>
        <v>0</v>
      </c>
      <c r="N38" s="60"/>
    </row>
    <row r="39" spans="1:14" hidden="1" x14ac:dyDescent="0.3">
      <c r="A39" s="52">
        <f t="shared" si="0"/>
        <v>36</v>
      </c>
      <c r="B39" s="55" t="s">
        <v>37</v>
      </c>
      <c r="C39" s="56" t="s">
        <v>36</v>
      </c>
      <c r="D39" s="55"/>
      <c r="E39" s="57">
        <v>7</v>
      </c>
      <c r="F39" s="59">
        <v>5</v>
      </c>
      <c r="G39" s="57">
        <v>38</v>
      </c>
      <c r="H39" s="57"/>
      <c r="I39" s="57"/>
      <c r="J39" s="57">
        <f>Table510[[#This Row],[العدد]]*Table510[[#This Row],[الفئة]]</f>
        <v>35</v>
      </c>
      <c r="K3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1330</v>
      </c>
      <c r="L39" s="57">
        <f>Table510[[#This Row],[اجمالي المبلغ]]</f>
        <v>1330</v>
      </c>
      <c r="M39" s="57">
        <f>Table510[[#This Row],[اجمالي المبلغ]]-Table510[[#This Row],[المبلغ المدفوع]]</f>
        <v>0</v>
      </c>
      <c r="N39" s="60"/>
    </row>
    <row r="40" spans="1:14" hidden="1" x14ac:dyDescent="0.3">
      <c r="A40" s="52">
        <f t="shared" si="0"/>
        <v>37</v>
      </c>
      <c r="B40" s="55" t="s">
        <v>37</v>
      </c>
      <c r="C40" s="56" t="s">
        <v>36</v>
      </c>
      <c r="D40" s="55"/>
      <c r="E40" s="57">
        <v>2</v>
      </c>
      <c r="F40" s="59">
        <v>5</v>
      </c>
      <c r="G40" s="57">
        <v>35</v>
      </c>
      <c r="H40" s="57"/>
      <c r="I40" s="57"/>
      <c r="J40" s="57">
        <f>Table510[[#This Row],[العدد]]*Table510[[#This Row],[الفئة]]</f>
        <v>10</v>
      </c>
      <c r="K4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350</v>
      </c>
      <c r="L40" s="57">
        <f>Table510[[#This Row],[اجمالي المبلغ]]</f>
        <v>350</v>
      </c>
      <c r="M40" s="57">
        <f>Table510[[#This Row],[اجمالي المبلغ]]-Table510[[#This Row],[المبلغ المدفوع]]</f>
        <v>0</v>
      </c>
      <c r="N40" s="60"/>
    </row>
    <row r="41" spans="1:14" hidden="1" x14ac:dyDescent="0.3">
      <c r="A41" s="52">
        <f t="shared" si="0"/>
        <v>38</v>
      </c>
      <c r="B41" s="55"/>
      <c r="C41" s="56"/>
      <c r="D41" s="55"/>
      <c r="E41" s="57"/>
      <c r="F41" s="59">
        <v>5</v>
      </c>
      <c r="G41" s="57"/>
      <c r="H41" s="57"/>
      <c r="I41" s="57"/>
      <c r="J41" s="57">
        <f>Table510[[#This Row],[العدد]]*Table510[[#This Row],[الفئة]]</f>
        <v>0</v>
      </c>
      <c r="K4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" s="57"/>
      <c r="M41" s="57">
        <f>Table510[[#This Row],[اجمالي المبلغ]]-Table510[[#This Row],[المبلغ المدفوع]]</f>
        <v>0</v>
      </c>
      <c r="N41" s="60"/>
    </row>
    <row r="42" spans="1:14" hidden="1" x14ac:dyDescent="0.3">
      <c r="A42" s="52">
        <f t="shared" si="0"/>
        <v>39</v>
      </c>
      <c r="B42" s="55" t="s">
        <v>38</v>
      </c>
      <c r="C42" s="56">
        <v>45276</v>
      </c>
      <c r="D42" s="55"/>
      <c r="E42" s="57">
        <v>13</v>
      </c>
      <c r="F42" s="59">
        <v>5</v>
      </c>
      <c r="G42" s="57">
        <v>35</v>
      </c>
      <c r="H42" s="57"/>
      <c r="I42" s="57"/>
      <c r="J42" s="57">
        <f>Table510[[#This Row],[العدد]]*Table510[[#This Row],[الفئة]]</f>
        <v>65</v>
      </c>
      <c r="K4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2275</v>
      </c>
      <c r="L42" s="57">
        <f>Table510[[#This Row],[اجمالي المبلغ]]</f>
        <v>2275</v>
      </c>
      <c r="M42" s="57">
        <f>Table510[[#This Row],[اجمالي المبلغ]]-Table510[[#This Row],[المبلغ المدفوع]]</f>
        <v>0</v>
      </c>
      <c r="N42" s="60"/>
    </row>
    <row r="43" spans="1:14" hidden="1" x14ac:dyDescent="0.3">
      <c r="A43" s="52">
        <f t="shared" si="0"/>
        <v>40</v>
      </c>
      <c r="B43" s="55" t="s">
        <v>38</v>
      </c>
      <c r="C43" s="56">
        <v>45276</v>
      </c>
      <c r="D43" s="55"/>
      <c r="E43" s="57">
        <v>5</v>
      </c>
      <c r="F43" s="59">
        <v>5</v>
      </c>
      <c r="G43" s="57">
        <v>35</v>
      </c>
      <c r="H43" s="57"/>
      <c r="I43" s="57"/>
      <c r="J43" s="57">
        <f>Table510[[#This Row],[العدد]]*Table510[[#This Row],[الفئة]]</f>
        <v>25</v>
      </c>
      <c r="K4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875</v>
      </c>
      <c r="L43" s="57">
        <f>Table510[[#This Row],[اجمالي المبلغ]]</f>
        <v>875</v>
      </c>
      <c r="M43" s="57">
        <f>Table510[[#This Row],[اجمالي المبلغ]]-Table510[[#This Row],[المبلغ المدفوع]]</f>
        <v>0</v>
      </c>
      <c r="N43" s="60"/>
    </row>
    <row r="44" spans="1:14" hidden="1" x14ac:dyDescent="0.3">
      <c r="A44" s="52">
        <f t="shared" si="0"/>
        <v>41</v>
      </c>
      <c r="B44" s="55"/>
      <c r="C44" s="56"/>
      <c r="D44" s="55"/>
      <c r="E44" s="57"/>
      <c r="F44" s="59">
        <v>5</v>
      </c>
      <c r="G44" s="57"/>
      <c r="H44" s="57"/>
      <c r="I44" s="57"/>
      <c r="J44" s="57">
        <f>Table510[[#This Row],[العدد]]*Table510[[#This Row],[الفئة]]</f>
        <v>0</v>
      </c>
      <c r="K4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4" s="57"/>
      <c r="M44" s="57">
        <f>Table510[[#This Row],[اجمالي المبلغ]]-Table510[[#This Row],[المبلغ المدفوع]]</f>
        <v>0</v>
      </c>
      <c r="N44" s="60"/>
    </row>
    <row r="45" spans="1:14" hidden="1" x14ac:dyDescent="0.3">
      <c r="A45" s="52">
        <f t="shared" si="0"/>
        <v>42</v>
      </c>
      <c r="B45" s="55" t="s">
        <v>39</v>
      </c>
      <c r="C45" s="56">
        <v>45276</v>
      </c>
      <c r="D45" s="55"/>
      <c r="E45" s="57">
        <v>30</v>
      </c>
      <c r="F45" s="59">
        <v>5</v>
      </c>
      <c r="G45" s="57">
        <v>38</v>
      </c>
      <c r="H45" s="57"/>
      <c r="I45" s="57"/>
      <c r="J45" s="57">
        <f>Table510[[#This Row],[العدد]]*Table510[[#This Row],[الفئة]]</f>
        <v>150</v>
      </c>
      <c r="K4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45" s="57">
        <f>Table510[[#This Row],[اجمالي المبلغ]]</f>
        <v>5700</v>
      </c>
      <c r="M45" s="57">
        <f>Table510[[#This Row],[اجمالي المبلغ]]-Table510[[#This Row],[المبلغ المدفوع]]</f>
        <v>0</v>
      </c>
      <c r="N45" s="60" t="s">
        <v>40</v>
      </c>
    </row>
    <row r="46" spans="1:14" hidden="1" x14ac:dyDescent="0.3">
      <c r="A46" s="52">
        <f t="shared" si="0"/>
        <v>43</v>
      </c>
      <c r="B46" s="55" t="s">
        <v>39</v>
      </c>
      <c r="C46" s="56">
        <v>45276</v>
      </c>
      <c r="D46" s="55"/>
      <c r="E46" s="57">
        <v>15</v>
      </c>
      <c r="F46" s="59">
        <v>5</v>
      </c>
      <c r="G46" s="57">
        <v>40</v>
      </c>
      <c r="H46" s="57"/>
      <c r="I46" s="57"/>
      <c r="J46" s="57">
        <f>Table510[[#This Row],[العدد]]*Table510[[#This Row],[الفئة]]</f>
        <v>75</v>
      </c>
      <c r="K4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</v>
      </c>
      <c r="L46" s="57">
        <f>Table510[[#This Row],[اجمالي المبلغ]]</f>
        <v>3000</v>
      </c>
      <c r="M46" s="57">
        <f>Table510[[#This Row],[اجمالي المبلغ]]-Table510[[#This Row],[المبلغ المدفوع]]</f>
        <v>0</v>
      </c>
      <c r="N46" s="60" t="s">
        <v>40</v>
      </c>
    </row>
    <row r="47" spans="1:14" hidden="1" x14ac:dyDescent="0.3">
      <c r="A47" s="52">
        <f t="shared" si="0"/>
        <v>44</v>
      </c>
      <c r="B47" s="55"/>
      <c r="C47" s="56"/>
      <c r="D47" s="55"/>
      <c r="E47" s="57"/>
      <c r="F47" s="59">
        <v>5</v>
      </c>
      <c r="G47" s="57"/>
      <c r="H47" s="57"/>
      <c r="I47" s="57"/>
      <c r="J47" s="57">
        <f>Table510[[#This Row],[العدد]]*Table510[[#This Row],[الفئة]]</f>
        <v>0</v>
      </c>
      <c r="K4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7" s="57"/>
      <c r="M47" s="57">
        <f>Table510[[#This Row],[اجمالي المبلغ]]-Table510[[#This Row],[المبلغ المدفوع]]</f>
        <v>0</v>
      </c>
      <c r="N47" s="60"/>
    </row>
    <row r="48" spans="1:14" hidden="1" x14ac:dyDescent="0.3">
      <c r="A48" s="52">
        <f t="shared" si="0"/>
        <v>45</v>
      </c>
      <c r="B48" s="55" t="s">
        <v>31</v>
      </c>
      <c r="C48" s="56">
        <v>45278</v>
      </c>
      <c r="D48" s="55"/>
      <c r="E48" s="57">
        <v>1</v>
      </c>
      <c r="F48" s="59">
        <v>5</v>
      </c>
      <c r="G48" s="57">
        <v>35</v>
      </c>
      <c r="H48" s="57"/>
      <c r="I48" s="57"/>
      <c r="J48" s="57">
        <f>Table510[[#This Row],[العدد]]*Table510[[#This Row],[الفئة]]</f>
        <v>5</v>
      </c>
      <c r="K4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175</v>
      </c>
      <c r="L48" s="57">
        <f>Table510[[#This Row],[اجمالي المبلغ]]</f>
        <v>175</v>
      </c>
      <c r="M48" s="57">
        <f>Table510[[#This Row],[اجمالي المبلغ]]-Table510[[#This Row],[المبلغ المدفوع]]</f>
        <v>0</v>
      </c>
      <c r="N48" s="60"/>
    </row>
    <row r="49" spans="1:14" hidden="1" x14ac:dyDescent="0.3">
      <c r="A49" s="52">
        <f t="shared" si="0"/>
        <v>46</v>
      </c>
      <c r="B49" s="55" t="s">
        <v>31</v>
      </c>
      <c r="C49" s="56">
        <v>45278</v>
      </c>
      <c r="D49" s="55"/>
      <c r="E49" s="57">
        <v>1</v>
      </c>
      <c r="F49" s="59">
        <v>5</v>
      </c>
      <c r="G49" s="57">
        <v>35</v>
      </c>
      <c r="H49" s="57"/>
      <c r="I49" s="57"/>
      <c r="J49" s="57">
        <f>Table510[[#This Row],[العدد]]*Table510[[#This Row],[الفئة]]</f>
        <v>5</v>
      </c>
      <c r="K4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175</v>
      </c>
      <c r="L49" s="57">
        <f>Table510[[#This Row],[اجمالي المبلغ]]</f>
        <v>175</v>
      </c>
      <c r="M49" s="57">
        <f>Table510[[#This Row],[اجمالي المبلغ]]-Table510[[#This Row],[المبلغ المدفوع]]</f>
        <v>0</v>
      </c>
      <c r="N49" s="60"/>
    </row>
    <row r="50" spans="1:14" hidden="1" x14ac:dyDescent="0.3">
      <c r="A50" s="52">
        <f t="shared" si="0"/>
        <v>47</v>
      </c>
      <c r="B50" s="55" t="s">
        <v>31</v>
      </c>
      <c r="C50" s="56">
        <v>45278</v>
      </c>
      <c r="D50" s="55"/>
      <c r="E50" s="57">
        <v>1</v>
      </c>
      <c r="F50" s="59">
        <v>5</v>
      </c>
      <c r="G50" s="57">
        <v>38</v>
      </c>
      <c r="H50" s="57"/>
      <c r="I50" s="57"/>
      <c r="J50" s="57">
        <f>Table510[[#This Row],[العدد]]*Table510[[#This Row],[الفئة]]</f>
        <v>5</v>
      </c>
      <c r="K5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</v>
      </c>
      <c r="L50" s="57">
        <f>Table510[[#This Row],[اجمالي المبلغ]]</f>
        <v>190</v>
      </c>
      <c r="M50" s="57">
        <f>Table510[[#This Row],[اجمالي المبلغ]]-Table510[[#This Row],[المبلغ المدفوع]]</f>
        <v>0</v>
      </c>
      <c r="N50" s="60"/>
    </row>
    <row r="51" spans="1:14" hidden="1" x14ac:dyDescent="0.3">
      <c r="A51" s="52">
        <f t="shared" si="0"/>
        <v>48</v>
      </c>
      <c r="B51" s="55"/>
      <c r="C51" s="56"/>
      <c r="D51" s="55"/>
      <c r="E51" s="57"/>
      <c r="F51" s="59">
        <v>5</v>
      </c>
      <c r="G51" s="57"/>
      <c r="H51" s="57"/>
      <c r="I51" s="57"/>
      <c r="J51" s="57">
        <f>Table510[[#This Row],[العدد]]*Table510[[#This Row],[الفئة]]</f>
        <v>0</v>
      </c>
      <c r="K5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1" s="57"/>
      <c r="M51" s="57">
        <f>Table510[[#This Row],[اجمالي المبلغ]]-Table510[[#This Row],[المبلغ المدفوع]]</f>
        <v>0</v>
      </c>
      <c r="N51" s="60"/>
    </row>
    <row r="52" spans="1:14" hidden="1" x14ac:dyDescent="0.3">
      <c r="A52" s="52">
        <f t="shared" si="0"/>
        <v>49</v>
      </c>
      <c r="B52" s="56" t="s">
        <v>41</v>
      </c>
      <c r="C52" s="56">
        <v>45281</v>
      </c>
      <c r="D52" s="55"/>
      <c r="E52" s="57">
        <v>15</v>
      </c>
      <c r="F52" s="59">
        <v>5</v>
      </c>
      <c r="G52" s="57">
        <v>40</v>
      </c>
      <c r="H52" s="57"/>
      <c r="I52" s="57"/>
      <c r="J52" s="57">
        <f>Table510[[#This Row],[العدد]]*Table510[[#This Row],[الفئة]]</f>
        <v>75</v>
      </c>
      <c r="K5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</v>
      </c>
      <c r="L52" s="57"/>
      <c r="M52" s="57">
        <f>Table510[[#This Row],[اجمالي المبلغ]]-Table510[[#This Row],[المبلغ المدفوع]]</f>
        <v>3000</v>
      </c>
      <c r="N52" s="60"/>
    </row>
    <row r="53" spans="1:14" hidden="1" x14ac:dyDescent="0.3">
      <c r="A53" s="52">
        <f t="shared" si="0"/>
        <v>50</v>
      </c>
      <c r="B53" s="56" t="s">
        <v>41</v>
      </c>
      <c r="C53" s="56">
        <v>45281</v>
      </c>
      <c r="D53" s="55"/>
      <c r="E53" s="57">
        <v>20</v>
      </c>
      <c r="F53" s="59">
        <v>5</v>
      </c>
      <c r="G53" s="57">
        <v>38</v>
      </c>
      <c r="H53" s="57"/>
      <c r="I53" s="57"/>
      <c r="J53" s="57">
        <f>Table510[[#This Row],[العدد]]*Table510[[#This Row],[الفئة]]</f>
        <v>100</v>
      </c>
      <c r="K5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53" s="57"/>
      <c r="M53" s="57">
        <f>Table510[[#This Row],[اجمالي المبلغ]]-Table510[[#This Row],[المبلغ المدفوع]]</f>
        <v>3800</v>
      </c>
      <c r="N53" s="60"/>
    </row>
    <row r="54" spans="1:14" hidden="1" x14ac:dyDescent="0.3">
      <c r="A54" s="52">
        <f t="shared" si="0"/>
        <v>51</v>
      </c>
      <c r="B54" s="56" t="s">
        <v>41</v>
      </c>
      <c r="C54" s="56">
        <v>45281</v>
      </c>
      <c r="D54" s="55"/>
      <c r="E54" s="57">
        <v>24</v>
      </c>
      <c r="F54" s="59">
        <v>5</v>
      </c>
      <c r="G54" s="57">
        <v>38</v>
      </c>
      <c r="H54" s="57"/>
      <c r="I54" s="57"/>
      <c r="J54" s="57">
        <f>Table510[[#This Row],[العدد]]*Table510[[#This Row],[الفئة]]</f>
        <v>120</v>
      </c>
      <c r="K5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4560</v>
      </c>
      <c r="L54" s="57"/>
      <c r="M54" s="57">
        <f>Table510[[#This Row],[اجمالي المبلغ]]-Table510[[#This Row],[المبلغ المدفوع]]</f>
        <v>4560</v>
      </c>
      <c r="N54" s="60"/>
    </row>
    <row r="55" spans="1:14" hidden="1" x14ac:dyDescent="0.3">
      <c r="A55" s="52">
        <f t="shared" si="0"/>
        <v>52</v>
      </c>
      <c r="B55" s="55"/>
      <c r="C55" s="56"/>
      <c r="D55" s="55"/>
      <c r="E55" s="57"/>
      <c r="F55" s="59">
        <v>5</v>
      </c>
      <c r="G55" s="57"/>
      <c r="H55" s="57"/>
      <c r="I55" s="57"/>
      <c r="J55" s="57">
        <f>Table510[[#This Row],[العدد]]*Table510[[#This Row],[الفئة]]</f>
        <v>0</v>
      </c>
      <c r="K5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" s="57"/>
      <c r="M55" s="57">
        <f>Table510[[#This Row],[اجمالي المبلغ]]-Table510[[#This Row],[المبلغ المدفوع]]</f>
        <v>0</v>
      </c>
      <c r="N55" s="60"/>
    </row>
    <row r="56" spans="1:14" hidden="1" x14ac:dyDescent="0.3">
      <c r="A56" s="52">
        <f t="shared" si="0"/>
        <v>53</v>
      </c>
      <c r="B56" s="55" t="s">
        <v>42</v>
      </c>
      <c r="C56" s="56">
        <v>45282</v>
      </c>
      <c r="D56" s="55"/>
      <c r="E56" s="57">
        <v>100</v>
      </c>
      <c r="F56" s="59">
        <v>5</v>
      </c>
      <c r="G56" s="57">
        <v>39</v>
      </c>
      <c r="H56" s="57"/>
      <c r="I56" s="57"/>
      <c r="J56" s="57">
        <f>Table510[[#This Row],[العدد]]*Table510[[#This Row],[الفئة]]</f>
        <v>500</v>
      </c>
      <c r="K5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19500</v>
      </c>
      <c r="L56" s="57">
        <f>Table510[[#This Row],[اجمالي المبلغ]]</f>
        <v>19500</v>
      </c>
      <c r="M56" s="57">
        <f>Table510[[#This Row],[اجمالي المبلغ]]-Table510[[#This Row],[المبلغ المدفوع]]</f>
        <v>0</v>
      </c>
      <c r="N56" s="60"/>
    </row>
    <row r="57" spans="1:14" hidden="1" x14ac:dyDescent="0.3">
      <c r="A57" s="52">
        <f t="shared" si="0"/>
        <v>54</v>
      </c>
      <c r="B57" s="55"/>
      <c r="C57" s="56"/>
      <c r="D57" s="55"/>
      <c r="E57" s="57"/>
      <c r="F57" s="59">
        <v>5</v>
      </c>
      <c r="G57" s="57"/>
      <c r="H57" s="57"/>
      <c r="I57" s="57"/>
      <c r="J57" s="57">
        <f>Table510[[#This Row],[العدد]]*Table510[[#This Row],[الفئة]]</f>
        <v>0</v>
      </c>
      <c r="K5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" s="57"/>
      <c r="M57" s="57">
        <f>Table510[[#This Row],[اجمالي المبلغ]]-Table510[[#This Row],[المبلغ المدفوع]]</f>
        <v>0</v>
      </c>
      <c r="N57" s="60"/>
    </row>
    <row r="58" spans="1:14" hidden="1" x14ac:dyDescent="0.3">
      <c r="A58" s="52">
        <f t="shared" si="0"/>
        <v>55</v>
      </c>
      <c r="B58" s="55" t="s">
        <v>43</v>
      </c>
      <c r="C58" s="56">
        <v>45283</v>
      </c>
      <c r="D58" s="55"/>
      <c r="E58" s="57">
        <v>4</v>
      </c>
      <c r="F58" s="59">
        <v>5</v>
      </c>
      <c r="G58" s="57">
        <v>40</v>
      </c>
      <c r="H58" s="57"/>
      <c r="I58" s="57"/>
      <c r="J58" s="57">
        <f>Table510[[#This Row],[العدد]]*Table510[[#This Row],[الفئة]]</f>
        <v>20</v>
      </c>
      <c r="K5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</v>
      </c>
      <c r="L58" s="57">
        <v>400</v>
      </c>
      <c r="M58" s="62">
        <f>Table510[[#This Row],[اجمالي المبلغ]]-Table510[[#This Row],[المبلغ المدفوع]]</f>
        <v>400</v>
      </c>
      <c r="N58" s="60"/>
    </row>
    <row r="59" spans="1:14" hidden="1" x14ac:dyDescent="0.3">
      <c r="A59" s="52">
        <f t="shared" si="0"/>
        <v>56</v>
      </c>
      <c r="B59" s="55"/>
      <c r="C59" s="56"/>
      <c r="D59" s="55"/>
      <c r="E59" s="57"/>
      <c r="F59" s="59">
        <v>5</v>
      </c>
      <c r="G59" s="57"/>
      <c r="H59" s="57"/>
      <c r="I59" s="57"/>
      <c r="J59" s="57">
        <f>Table510[[#This Row],[العدد]]*Table510[[#This Row],[الفئة]]</f>
        <v>0</v>
      </c>
      <c r="K5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" s="57"/>
      <c r="M59" s="57">
        <f>Table510[[#This Row],[اجمالي المبلغ]]-Table510[[#This Row],[المبلغ المدفوع]]</f>
        <v>0</v>
      </c>
      <c r="N59" s="60"/>
    </row>
    <row r="60" spans="1:14" hidden="1" x14ac:dyDescent="0.3">
      <c r="A60" s="52">
        <f t="shared" si="0"/>
        <v>57</v>
      </c>
      <c r="B60" s="55" t="s">
        <v>44</v>
      </c>
      <c r="C60" s="56">
        <v>45281</v>
      </c>
      <c r="D60" s="55"/>
      <c r="E60" s="57">
        <v>6</v>
      </c>
      <c r="F60" s="59">
        <v>5</v>
      </c>
      <c r="G60" s="57">
        <v>39</v>
      </c>
      <c r="H60" s="57"/>
      <c r="I60" s="57"/>
      <c r="J60" s="57">
        <f>Table510[[#This Row],[العدد]]*Table510[[#This Row],[الفئة]]</f>
        <v>30</v>
      </c>
      <c r="K6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1170</v>
      </c>
      <c r="L60" s="57">
        <f>Table510[[#This Row],[اجمالي المبلغ]]</f>
        <v>1170</v>
      </c>
      <c r="M60" s="57">
        <f>Table510[[#This Row],[اجمالي المبلغ]]-Table510[[#This Row],[المبلغ المدفوع]]</f>
        <v>0</v>
      </c>
      <c r="N60" s="60"/>
    </row>
    <row r="61" spans="1:14" hidden="1" x14ac:dyDescent="0.3">
      <c r="A61" s="52">
        <f t="shared" si="0"/>
        <v>58</v>
      </c>
      <c r="B61" s="55"/>
      <c r="C61" s="56"/>
      <c r="D61" s="55"/>
      <c r="E61" s="57"/>
      <c r="F61" s="59">
        <v>5</v>
      </c>
      <c r="G61" s="57"/>
      <c r="H61" s="57"/>
      <c r="I61" s="57"/>
      <c r="J61" s="57">
        <f>Table510[[#This Row],[العدد]]*Table510[[#This Row],[الفئة]]</f>
        <v>0</v>
      </c>
      <c r="K6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" s="57"/>
      <c r="M61" s="57">
        <f>Table510[[#This Row],[اجمالي المبلغ]]-Table510[[#This Row],[المبلغ المدفوع]]</f>
        <v>0</v>
      </c>
      <c r="N61" s="60"/>
    </row>
    <row r="62" spans="1:14" hidden="1" x14ac:dyDescent="0.3">
      <c r="A62" s="52">
        <f t="shared" si="0"/>
        <v>59</v>
      </c>
      <c r="B62" s="56" t="s">
        <v>45</v>
      </c>
      <c r="C62" s="56">
        <v>45282</v>
      </c>
      <c r="D62" s="55"/>
      <c r="E62" s="57">
        <v>5</v>
      </c>
      <c r="F62" s="59">
        <v>5</v>
      </c>
      <c r="G62" s="57">
        <v>38</v>
      </c>
      <c r="H62" s="57"/>
      <c r="I62" s="57"/>
      <c r="J62" s="57">
        <f>Table510[[#This Row],[العدد]]*Table510[[#This Row],[الفئة]]</f>
        <v>25</v>
      </c>
      <c r="K6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</v>
      </c>
      <c r="L62" s="57">
        <f>Table510[[#This Row],[اجمالي المبلغ]]</f>
        <v>950</v>
      </c>
      <c r="M62" s="57">
        <f>Table510[[#This Row],[اجمالي المبلغ]]-Table510[[#This Row],[المبلغ المدفوع]]</f>
        <v>0</v>
      </c>
      <c r="N62" s="60"/>
    </row>
    <row r="63" spans="1:14" hidden="1" x14ac:dyDescent="0.3">
      <c r="A63" s="52">
        <f t="shared" si="0"/>
        <v>60</v>
      </c>
      <c r="B63" s="55"/>
      <c r="C63" s="56"/>
      <c r="D63" s="55"/>
      <c r="E63" s="57"/>
      <c r="F63" s="59">
        <v>5</v>
      </c>
      <c r="G63" s="57"/>
      <c r="H63" s="57"/>
      <c r="I63" s="57"/>
      <c r="J63" s="57">
        <f>Table510[[#This Row],[العدد]]*Table510[[#This Row],[الفئة]]</f>
        <v>0</v>
      </c>
      <c r="K6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3" s="57"/>
      <c r="M63" s="57">
        <f>Table510[[#This Row],[اجمالي المبلغ]]-Table510[[#This Row],[المبلغ المدفوع]]</f>
        <v>0</v>
      </c>
      <c r="N63" s="60"/>
    </row>
    <row r="64" spans="1:14" hidden="1" x14ac:dyDescent="0.3">
      <c r="A64" s="52">
        <f t="shared" si="0"/>
        <v>61</v>
      </c>
      <c r="B64" s="55" t="s">
        <v>46</v>
      </c>
      <c r="C64" s="56">
        <v>45283</v>
      </c>
      <c r="D64" s="55"/>
      <c r="E64" s="57">
        <v>2</v>
      </c>
      <c r="F64" s="59">
        <v>5</v>
      </c>
      <c r="G64" s="57">
        <v>40</v>
      </c>
      <c r="H64" s="57"/>
      <c r="I64" s="57"/>
      <c r="J64" s="57">
        <f>Table510[[#This Row],[العدد]]*Table510[[#This Row],[الفئة]]</f>
        <v>10</v>
      </c>
      <c r="K6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64" s="57">
        <v>400</v>
      </c>
      <c r="M64" s="57">
        <f>Table510[[#This Row],[اجمالي المبلغ]]-Table510[[#This Row],[المبلغ المدفوع]]</f>
        <v>0</v>
      </c>
      <c r="N64" s="60"/>
    </row>
    <row r="65" spans="1:14" hidden="1" x14ac:dyDescent="0.3">
      <c r="A65" s="52">
        <f t="shared" si="0"/>
        <v>62</v>
      </c>
      <c r="B65" s="55"/>
      <c r="C65" s="56"/>
      <c r="D65" s="55"/>
      <c r="E65" s="57"/>
      <c r="F65" s="59">
        <v>5</v>
      </c>
      <c r="G65" s="57"/>
      <c r="H65" s="57"/>
      <c r="I65" s="57"/>
      <c r="J65" s="57">
        <f>Table510[[#This Row],[العدد]]*Table510[[#This Row],[الفئة]]</f>
        <v>0</v>
      </c>
      <c r="K6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5" s="57"/>
      <c r="M65" s="57">
        <f>Table510[[#This Row],[اجمالي المبلغ]]-Table510[[#This Row],[المبلغ المدفوع]]</f>
        <v>0</v>
      </c>
      <c r="N65" s="60"/>
    </row>
    <row r="66" spans="1:14" hidden="1" x14ac:dyDescent="0.3">
      <c r="A66" s="52">
        <f t="shared" si="0"/>
        <v>63</v>
      </c>
      <c r="B66" s="55" t="s">
        <v>47</v>
      </c>
      <c r="C66" s="56">
        <v>45283</v>
      </c>
      <c r="D66" s="55"/>
      <c r="E66" s="57">
        <v>100</v>
      </c>
      <c r="F66" s="59">
        <v>5</v>
      </c>
      <c r="G66" s="57">
        <v>37</v>
      </c>
      <c r="H66" s="57"/>
      <c r="I66" s="57"/>
      <c r="J66" s="57">
        <f>Table510[[#This Row],[العدد]]*Table510[[#This Row],[الفئة]]</f>
        <v>500</v>
      </c>
      <c r="K6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18500</v>
      </c>
      <c r="L66" s="57">
        <v>3700</v>
      </c>
      <c r="M66" s="57">
        <f>Table510[[#This Row],[اجمالي المبلغ]]-Table510[[#This Row],[المبلغ المدفوع]]</f>
        <v>14800</v>
      </c>
      <c r="N66" s="60"/>
    </row>
    <row r="67" spans="1:14" hidden="1" x14ac:dyDescent="0.3">
      <c r="A67" s="52">
        <f t="shared" si="0"/>
        <v>64</v>
      </c>
      <c r="B67" s="55"/>
      <c r="C67" s="56"/>
      <c r="D67" s="55"/>
      <c r="E67" s="57"/>
      <c r="F67" s="59">
        <v>5</v>
      </c>
      <c r="G67" s="57"/>
      <c r="H67" s="57"/>
      <c r="I67" s="57"/>
      <c r="J67" s="57">
        <f>Table510[[#This Row],[العدد]]*Table510[[#This Row],[الفئة]]</f>
        <v>0</v>
      </c>
      <c r="K6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7" s="57"/>
      <c r="M67" s="57">
        <f>Table510[[#This Row],[اجمالي المبلغ]]-Table510[[#This Row],[المبلغ المدفوع]]</f>
        <v>0</v>
      </c>
      <c r="N67" s="60"/>
    </row>
    <row r="68" spans="1:14" hidden="1" x14ac:dyDescent="0.3">
      <c r="A68" s="52">
        <f t="shared" si="0"/>
        <v>65</v>
      </c>
      <c r="B68" s="55" t="s">
        <v>48</v>
      </c>
      <c r="C68" s="56">
        <v>45285</v>
      </c>
      <c r="D68" s="55"/>
      <c r="E68" s="57">
        <v>50</v>
      </c>
      <c r="F68" s="59">
        <v>5</v>
      </c>
      <c r="G68" s="57">
        <v>39.5</v>
      </c>
      <c r="H68" s="57"/>
      <c r="I68" s="57"/>
      <c r="J68" s="57">
        <f>Table510[[#This Row],[العدد]]*Table510[[#This Row],[الفئة]]</f>
        <v>250</v>
      </c>
      <c r="K6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9875</v>
      </c>
      <c r="L68" s="57">
        <f>Table510[[#This Row],[اجمالي المبلغ]]</f>
        <v>9875</v>
      </c>
      <c r="M68" s="57">
        <f>Table510[[#This Row],[اجمالي المبلغ]]-Table510[[#This Row],[المبلغ المدفوع]]</f>
        <v>0</v>
      </c>
      <c r="N68" s="60"/>
    </row>
    <row r="69" spans="1:14" hidden="1" x14ac:dyDescent="0.3">
      <c r="A69" s="52">
        <f t="shared" si="0"/>
        <v>66</v>
      </c>
      <c r="B69" s="55"/>
      <c r="C69" s="56"/>
      <c r="D69" s="55"/>
      <c r="E69" s="57"/>
      <c r="F69" s="59">
        <v>5</v>
      </c>
      <c r="G69" s="57"/>
      <c r="H69" s="57"/>
      <c r="I69" s="57"/>
      <c r="J69" s="57">
        <f>Table510[[#This Row],[العدد]]*Table510[[#This Row],[الفئة]]</f>
        <v>0</v>
      </c>
      <c r="K6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9" s="57"/>
      <c r="M69" s="57">
        <f>Table510[[#This Row],[اجمالي المبلغ]]-Table510[[#This Row],[المبلغ المدفوع]]</f>
        <v>0</v>
      </c>
      <c r="N69" s="60"/>
    </row>
    <row r="70" spans="1:14" hidden="1" x14ac:dyDescent="0.3">
      <c r="A70" s="52">
        <f t="shared" ref="A70:A133" si="1">A69+1</f>
        <v>67</v>
      </c>
      <c r="B70" s="55" t="s">
        <v>49</v>
      </c>
      <c r="C70" s="56">
        <v>45283</v>
      </c>
      <c r="D70" s="55"/>
      <c r="E70" s="57">
        <v>1</v>
      </c>
      <c r="F70" s="59">
        <v>5</v>
      </c>
      <c r="G70" s="57"/>
      <c r="H70" s="57"/>
      <c r="I70" s="57"/>
      <c r="J70" s="57">
        <f>Table510[[#This Row],[العدد]]*Table510[[#This Row],[الفئة]]</f>
        <v>5</v>
      </c>
      <c r="K7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0" s="57"/>
      <c r="M70" s="57">
        <f>Table510[[#This Row],[اجمالي المبلغ]]-Table510[[#This Row],[المبلغ المدفوع]]</f>
        <v>0</v>
      </c>
      <c r="N70" s="60"/>
    </row>
    <row r="71" spans="1:14" hidden="1" x14ac:dyDescent="0.3">
      <c r="A71" s="52">
        <f t="shared" si="1"/>
        <v>68</v>
      </c>
      <c r="B71" s="55" t="s">
        <v>49</v>
      </c>
      <c r="C71" s="56">
        <v>45283</v>
      </c>
      <c r="D71" s="55"/>
      <c r="E71" s="57">
        <v>1</v>
      </c>
      <c r="F71" s="59">
        <v>5</v>
      </c>
      <c r="G71" s="57"/>
      <c r="H71" s="57"/>
      <c r="I71" s="57"/>
      <c r="J71" s="57">
        <f>Table510[[#This Row],[العدد]]*Table510[[#This Row],[الفئة]]</f>
        <v>5</v>
      </c>
      <c r="K7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1" s="57"/>
      <c r="M71" s="57">
        <f>Table510[[#This Row],[اجمالي المبلغ]]-Table510[[#This Row],[المبلغ المدفوع]]</f>
        <v>0</v>
      </c>
      <c r="N71" s="60"/>
    </row>
    <row r="72" spans="1:14" hidden="1" x14ac:dyDescent="0.3">
      <c r="A72" s="52">
        <f t="shared" si="1"/>
        <v>69</v>
      </c>
      <c r="B72" s="55"/>
      <c r="C72" s="56"/>
      <c r="D72" s="55"/>
      <c r="E72" s="57"/>
      <c r="F72" s="59">
        <v>5</v>
      </c>
      <c r="G72" s="57"/>
      <c r="H72" s="57"/>
      <c r="I72" s="57"/>
      <c r="J72" s="57">
        <f>Table510[[#This Row],[العدد]]*Table510[[#This Row],[الفئة]]</f>
        <v>0</v>
      </c>
      <c r="K7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2" s="57"/>
      <c r="M72" s="57">
        <f>Table510[[#This Row],[اجمالي المبلغ]]-Table510[[#This Row],[المبلغ المدفوع]]</f>
        <v>0</v>
      </c>
      <c r="N72" s="60"/>
    </row>
    <row r="73" spans="1:14" hidden="1" x14ac:dyDescent="0.3">
      <c r="A73" s="52">
        <f t="shared" si="1"/>
        <v>70</v>
      </c>
      <c r="B73" s="55" t="s">
        <v>47</v>
      </c>
      <c r="C73" s="56">
        <v>45287</v>
      </c>
      <c r="D73" s="55"/>
      <c r="E73" s="57">
        <v>2</v>
      </c>
      <c r="F73" s="59">
        <v>5</v>
      </c>
      <c r="G73" s="57">
        <v>40</v>
      </c>
      <c r="H73" s="57"/>
      <c r="I73" s="57"/>
      <c r="J73" s="57">
        <f>Table510[[#This Row],[العدد]]*Table510[[#This Row],[الفئة]]</f>
        <v>10</v>
      </c>
      <c r="K7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73" s="57">
        <v>400</v>
      </c>
      <c r="M73" s="57">
        <f>Table510[[#This Row],[اجمالي المبلغ]]-Table510[[#This Row],[المبلغ المدفوع]]</f>
        <v>0</v>
      </c>
      <c r="N73" s="60"/>
    </row>
    <row r="74" spans="1:14" hidden="1" x14ac:dyDescent="0.3">
      <c r="A74" s="52">
        <f t="shared" si="1"/>
        <v>71</v>
      </c>
      <c r="B74" s="55"/>
      <c r="C74" s="56"/>
      <c r="D74" s="55"/>
      <c r="E74" s="57"/>
      <c r="F74" s="59">
        <v>5</v>
      </c>
      <c r="G74" s="57"/>
      <c r="H74" s="57"/>
      <c r="I74" s="57"/>
      <c r="J74" s="57">
        <f>Table510[[#This Row],[العدد]]*Table510[[#This Row],[الفئة]]</f>
        <v>0</v>
      </c>
      <c r="K7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4" s="57"/>
      <c r="M74" s="57">
        <f>Table510[[#This Row],[اجمالي المبلغ]]-Table510[[#This Row],[المبلغ المدفوع]]</f>
        <v>0</v>
      </c>
      <c r="N74" s="60"/>
    </row>
    <row r="75" spans="1:14" hidden="1" x14ac:dyDescent="0.3">
      <c r="A75" s="52">
        <f t="shared" si="1"/>
        <v>72</v>
      </c>
      <c r="B75" s="55" t="s">
        <v>50</v>
      </c>
      <c r="C75" s="56">
        <v>45288</v>
      </c>
      <c r="D75" s="55"/>
      <c r="E75" s="57">
        <v>2</v>
      </c>
      <c r="F75" s="59">
        <v>5</v>
      </c>
      <c r="G75" s="57">
        <v>40</v>
      </c>
      <c r="H75" s="57"/>
      <c r="I75" s="57"/>
      <c r="J75" s="57">
        <f>Table510[[#This Row],[العدد]]*Table510[[#This Row],[الفئة]]</f>
        <v>10</v>
      </c>
      <c r="K7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75" s="57">
        <v>400</v>
      </c>
      <c r="M75" s="57">
        <f>Table510[[#This Row],[اجمالي المبلغ]]-Table510[[#This Row],[المبلغ المدفوع]]</f>
        <v>0</v>
      </c>
      <c r="N75" s="60"/>
    </row>
    <row r="76" spans="1:14" hidden="1" x14ac:dyDescent="0.3">
      <c r="A76" s="52">
        <f t="shared" si="1"/>
        <v>73</v>
      </c>
      <c r="B76" s="55" t="s">
        <v>50</v>
      </c>
      <c r="C76" s="56">
        <v>45288</v>
      </c>
      <c r="D76" s="55"/>
      <c r="E76" s="57">
        <v>10</v>
      </c>
      <c r="F76" s="59">
        <v>5</v>
      </c>
      <c r="G76" s="57">
        <v>38</v>
      </c>
      <c r="H76" s="57"/>
      <c r="I76" s="57"/>
      <c r="J76" s="57">
        <f>Table510[[#This Row],[العدد]]*Table510[[#This Row],[الفئة]]</f>
        <v>50</v>
      </c>
      <c r="K7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</v>
      </c>
      <c r="L76" s="57">
        <v>700</v>
      </c>
      <c r="M76" s="57">
        <f>Table510[[#This Row],[اجمالي المبلغ]]-Table510[[#This Row],[المبلغ المدفوع]]</f>
        <v>1200</v>
      </c>
      <c r="N76" s="60" t="s">
        <v>51</v>
      </c>
    </row>
    <row r="77" spans="1:14" hidden="1" x14ac:dyDescent="0.3">
      <c r="A77" s="52">
        <f t="shared" si="1"/>
        <v>74</v>
      </c>
      <c r="B77" s="55"/>
      <c r="C77" s="56"/>
      <c r="D77" s="55"/>
      <c r="E77" s="57"/>
      <c r="F77" s="59">
        <v>5</v>
      </c>
      <c r="G77" s="57"/>
      <c r="H77" s="57"/>
      <c r="I77" s="57"/>
      <c r="J77" s="57">
        <f>Table510[[#This Row],[العدد]]*Table510[[#This Row],[الفئة]]</f>
        <v>0</v>
      </c>
      <c r="K7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7" s="57"/>
      <c r="M77" s="57">
        <f>Table510[[#This Row],[اجمالي المبلغ]]-Table510[[#This Row],[المبلغ المدفوع]]</f>
        <v>0</v>
      </c>
      <c r="N77" s="60"/>
    </row>
    <row r="78" spans="1:14" hidden="1" x14ac:dyDescent="0.3">
      <c r="A78" s="52">
        <f t="shared" si="1"/>
        <v>75</v>
      </c>
      <c r="B78" s="55" t="s">
        <v>21</v>
      </c>
      <c r="C78" s="56">
        <v>45288</v>
      </c>
      <c r="D78" s="55"/>
      <c r="E78" s="57">
        <v>2</v>
      </c>
      <c r="F78" s="59">
        <v>5</v>
      </c>
      <c r="G78" s="57">
        <v>40</v>
      </c>
      <c r="H78" s="57"/>
      <c r="I78" s="57"/>
      <c r="J78" s="57">
        <f>Table510[[#This Row],[العدد]]*Table510[[#This Row],[الفئة]]</f>
        <v>10</v>
      </c>
      <c r="K7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78" s="57">
        <f>Table510[[#This Row],[اجمالي المبلغ]]</f>
        <v>400</v>
      </c>
      <c r="M78" s="57">
        <f>Table510[[#This Row],[اجمالي المبلغ]]-Table510[[#This Row],[المبلغ المدفوع]]</f>
        <v>0</v>
      </c>
      <c r="N78" s="60"/>
    </row>
    <row r="79" spans="1:14" hidden="1" x14ac:dyDescent="0.3">
      <c r="A79" s="52">
        <f t="shared" si="1"/>
        <v>76</v>
      </c>
      <c r="B79" s="55"/>
      <c r="C79" s="56"/>
      <c r="D79" s="55"/>
      <c r="E79" s="57"/>
      <c r="F79" s="59">
        <v>5</v>
      </c>
      <c r="G79" s="57"/>
      <c r="H79" s="57"/>
      <c r="I79" s="57"/>
      <c r="J79" s="57">
        <f>Table510[[#This Row],[العدد]]*Table510[[#This Row],[الفئة]]</f>
        <v>0</v>
      </c>
      <c r="K7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79" s="57"/>
      <c r="M79" s="57">
        <f>Table510[[#This Row],[اجمالي المبلغ]]-Table510[[#This Row],[المبلغ المدفوع]]</f>
        <v>0</v>
      </c>
      <c r="N79" s="60"/>
    </row>
    <row r="80" spans="1:14" hidden="1" x14ac:dyDescent="0.3">
      <c r="A80" s="52">
        <f t="shared" si="1"/>
        <v>77</v>
      </c>
      <c r="B80" s="55" t="s">
        <v>44</v>
      </c>
      <c r="C80" s="56">
        <v>45289</v>
      </c>
      <c r="D80" s="55"/>
      <c r="E80" s="57">
        <v>1</v>
      </c>
      <c r="F80" s="59">
        <v>5</v>
      </c>
      <c r="G80" s="57">
        <v>38</v>
      </c>
      <c r="H80" s="57"/>
      <c r="I80" s="57"/>
      <c r="J80" s="57">
        <f>Table510[[#This Row],[العدد]]*Table510[[#This Row],[الفئة]]</f>
        <v>5</v>
      </c>
      <c r="K8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</v>
      </c>
      <c r="L80" s="57">
        <v>76</v>
      </c>
      <c r="M80" s="57">
        <f>Table510[[#This Row],[اجمالي المبلغ]]-Table510[[#This Row],[المبلغ المدفوع]]</f>
        <v>114</v>
      </c>
      <c r="N80" s="60" t="s">
        <v>34</v>
      </c>
    </row>
    <row r="81" spans="1:14" hidden="1" x14ac:dyDescent="0.3">
      <c r="A81" s="52">
        <f t="shared" si="1"/>
        <v>78</v>
      </c>
      <c r="B81" s="55"/>
      <c r="C81" s="56"/>
      <c r="D81" s="55"/>
      <c r="E81" s="57"/>
      <c r="F81" s="59">
        <v>5</v>
      </c>
      <c r="G81" s="57"/>
      <c r="H81" s="57"/>
      <c r="I81" s="57"/>
      <c r="J81" s="57">
        <f>Table510[[#This Row],[العدد]]*Table510[[#This Row],[الفئة]]</f>
        <v>0</v>
      </c>
      <c r="K8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81" s="57"/>
      <c r="M81" s="57">
        <f>Table510[[#This Row],[اجمالي المبلغ]]-Table510[[#This Row],[المبلغ المدفوع]]</f>
        <v>0</v>
      </c>
      <c r="N81" s="60"/>
    </row>
    <row r="82" spans="1:14" hidden="1" x14ac:dyDescent="0.3">
      <c r="A82" s="52">
        <f t="shared" si="1"/>
        <v>79</v>
      </c>
      <c r="B82" s="55" t="s">
        <v>48</v>
      </c>
      <c r="C82" s="56">
        <v>45290</v>
      </c>
      <c r="D82" s="55"/>
      <c r="E82" s="57">
        <v>160</v>
      </c>
      <c r="F82" s="59">
        <v>5</v>
      </c>
      <c r="G82" s="57">
        <v>40</v>
      </c>
      <c r="H82" s="57"/>
      <c r="I82" s="57"/>
      <c r="J82" s="57">
        <f>Table510[[#This Row],[العدد]]*Table510[[#This Row],[الفئة]]</f>
        <v>800</v>
      </c>
      <c r="K8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32000</v>
      </c>
      <c r="L82" s="57">
        <v>32000</v>
      </c>
      <c r="M82" s="57">
        <f>Table510[[#This Row],[اجمالي المبلغ]]-Table510[[#This Row],[المبلغ المدفوع]]</f>
        <v>0</v>
      </c>
      <c r="N82" s="60"/>
    </row>
    <row r="83" spans="1:14" hidden="1" x14ac:dyDescent="0.3">
      <c r="A83" s="52">
        <f t="shared" si="1"/>
        <v>80</v>
      </c>
      <c r="B83" s="55"/>
      <c r="C83" s="56"/>
      <c r="D83" s="55"/>
      <c r="E83" s="57"/>
      <c r="F83" s="59">
        <v>5</v>
      </c>
      <c r="G83" s="57"/>
      <c r="H83" s="57"/>
      <c r="I83" s="57"/>
      <c r="J83" s="57">
        <f>Table510[[#This Row],[العدد]]*Table510[[#This Row],[الفئة]]</f>
        <v>0</v>
      </c>
      <c r="K8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83" s="57"/>
      <c r="M83" s="57">
        <f>Table510[[#This Row],[اجمالي المبلغ]]-Table510[[#This Row],[المبلغ المدفوع]]</f>
        <v>0</v>
      </c>
      <c r="N83" s="60"/>
    </row>
    <row r="84" spans="1:14" hidden="1" x14ac:dyDescent="0.3">
      <c r="A84" s="52">
        <f t="shared" si="1"/>
        <v>81</v>
      </c>
      <c r="B84" s="55" t="s">
        <v>41</v>
      </c>
      <c r="C84" s="56">
        <v>45292</v>
      </c>
      <c r="D84" s="55"/>
      <c r="E84" s="57">
        <v>98</v>
      </c>
      <c r="F84" s="59">
        <v>5</v>
      </c>
      <c r="G84" s="57">
        <v>40</v>
      </c>
      <c r="H84" s="57"/>
      <c r="I84" s="57"/>
      <c r="J84" s="57">
        <f>Table510[[#This Row],[العدد]]*Table510[[#This Row],[الفئة]]</f>
        <v>490</v>
      </c>
      <c r="K8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19600</v>
      </c>
      <c r="L84" s="57"/>
      <c r="M84" s="57">
        <f>Table510[[#This Row],[اجمالي المبلغ]]-Table510[[#This Row],[المبلغ المدفوع]]</f>
        <v>19600</v>
      </c>
      <c r="N84" s="60"/>
    </row>
    <row r="85" spans="1:14" hidden="1" x14ac:dyDescent="0.3">
      <c r="A85" s="52">
        <f t="shared" si="1"/>
        <v>82</v>
      </c>
      <c r="B85" s="55" t="s">
        <v>41</v>
      </c>
      <c r="C85" s="56">
        <v>45292</v>
      </c>
      <c r="D85" s="55"/>
      <c r="E85" s="57">
        <v>67</v>
      </c>
      <c r="F85" s="59">
        <v>5</v>
      </c>
      <c r="G85" s="57">
        <v>38</v>
      </c>
      <c r="H85" s="57"/>
      <c r="I85" s="57"/>
      <c r="J85" s="57">
        <f>Table510[[#This Row],[العدد]]*Table510[[#This Row],[الفئة]]</f>
        <v>335</v>
      </c>
      <c r="K8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12730</v>
      </c>
      <c r="L85" s="57"/>
      <c r="M85" s="57">
        <f>Table510[[#This Row],[اجمالي المبلغ]]-Table510[[#This Row],[المبلغ المدفوع]]</f>
        <v>12730</v>
      </c>
      <c r="N85" s="60"/>
    </row>
    <row r="86" spans="1:14" hidden="1" x14ac:dyDescent="0.3">
      <c r="A86" s="52">
        <f t="shared" si="1"/>
        <v>83</v>
      </c>
      <c r="B86" s="55" t="s">
        <v>41</v>
      </c>
      <c r="C86" s="56">
        <v>45292</v>
      </c>
      <c r="D86" s="55"/>
      <c r="E86" s="57">
        <v>170</v>
      </c>
      <c r="F86" s="59">
        <v>5</v>
      </c>
      <c r="G86" s="57">
        <v>38</v>
      </c>
      <c r="H86" s="57"/>
      <c r="I86" s="57"/>
      <c r="J86" s="57">
        <f>Table510[[#This Row],[العدد]]*Table510[[#This Row],[الفئة]]</f>
        <v>850</v>
      </c>
      <c r="K8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32300</v>
      </c>
      <c r="L86" s="57"/>
      <c r="M86" s="57">
        <f>Table510[[#This Row],[اجمالي المبلغ]]-Table510[[#This Row],[المبلغ المدفوع]]</f>
        <v>32300</v>
      </c>
      <c r="N86" s="60"/>
    </row>
    <row r="87" spans="1:14" hidden="1" x14ac:dyDescent="0.3">
      <c r="A87" s="52">
        <f t="shared" si="1"/>
        <v>84</v>
      </c>
      <c r="B87" s="55"/>
      <c r="C87" s="56"/>
      <c r="D87" s="55"/>
      <c r="E87" s="57"/>
      <c r="F87" s="59">
        <v>5</v>
      </c>
      <c r="G87" s="57"/>
      <c r="H87" s="57"/>
      <c r="I87" s="57"/>
      <c r="J87" s="57">
        <f>Table510[[#This Row],[العدد]]*Table510[[#This Row],[الفئة]]</f>
        <v>0</v>
      </c>
      <c r="K8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87" s="57"/>
      <c r="M87" s="57">
        <f>Table510[[#This Row],[اجمالي المبلغ]]-Table510[[#This Row],[المبلغ المدفوع]]</f>
        <v>0</v>
      </c>
      <c r="N87" s="60"/>
    </row>
    <row r="88" spans="1:14" hidden="1" x14ac:dyDescent="0.3">
      <c r="A88" s="52">
        <f t="shared" si="1"/>
        <v>85</v>
      </c>
      <c r="B88" s="55" t="s">
        <v>48</v>
      </c>
      <c r="C88" s="56">
        <v>45295</v>
      </c>
      <c r="D88" s="55"/>
      <c r="E88" s="57">
        <v>200</v>
      </c>
      <c r="F88" s="59">
        <v>5</v>
      </c>
      <c r="G88" s="57">
        <v>40</v>
      </c>
      <c r="H88" s="57"/>
      <c r="I88" s="57"/>
      <c r="J88" s="57">
        <f>Table510[[#This Row],[العدد]]*Table510[[#This Row],[الفئة]]</f>
        <v>1000</v>
      </c>
      <c r="K8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88" s="57"/>
      <c r="M88" s="57">
        <f>Table510[[#This Row],[اجمالي المبلغ]]-Table510[[#This Row],[المبلغ المدفوع]]</f>
        <v>40000</v>
      </c>
      <c r="N88" s="60"/>
    </row>
    <row r="89" spans="1:14" hidden="1" x14ac:dyDescent="0.3">
      <c r="A89" s="52">
        <f t="shared" si="1"/>
        <v>86</v>
      </c>
      <c r="B89" s="55"/>
      <c r="C89" s="56"/>
      <c r="D89" s="55"/>
      <c r="E89" s="57"/>
      <c r="F89" s="59">
        <v>5</v>
      </c>
      <c r="G89" s="57"/>
      <c r="H89" s="57"/>
      <c r="I89" s="57"/>
      <c r="J89" s="57">
        <f>Table510[[#This Row],[العدد]]*Table510[[#This Row],[الفئة]]</f>
        <v>0</v>
      </c>
      <c r="K8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89" s="57"/>
      <c r="M89" s="57">
        <f>Table510[[#This Row],[اجمالي المبلغ]]-Table510[[#This Row],[المبلغ المدفوع]]</f>
        <v>0</v>
      </c>
      <c r="N89" s="60"/>
    </row>
    <row r="90" spans="1:14" hidden="1" x14ac:dyDescent="0.3">
      <c r="A90" s="52">
        <f t="shared" si="1"/>
        <v>87</v>
      </c>
      <c r="B90" s="55" t="s">
        <v>52</v>
      </c>
      <c r="C90" s="56">
        <v>45296</v>
      </c>
      <c r="D90" s="55"/>
      <c r="E90" s="69"/>
      <c r="F90" s="59">
        <v>5</v>
      </c>
      <c r="G90" s="69"/>
      <c r="H90" s="69"/>
      <c r="I90" s="69"/>
      <c r="J90" s="69">
        <f>Table510[[#This Row],[العدد]]*Table510[[#This Row],[الفئة]]</f>
        <v>0</v>
      </c>
      <c r="K90" s="69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90" s="69"/>
      <c r="M90" s="69">
        <f>Table510[[#This Row],[اجمالي المبلغ]]-Table510[[#This Row],[المبلغ المدفوع]]</f>
        <v>0</v>
      </c>
      <c r="N90" s="60" t="s">
        <v>68</v>
      </c>
    </row>
    <row r="91" spans="1:14" hidden="1" x14ac:dyDescent="0.3">
      <c r="A91" s="52">
        <f t="shared" si="1"/>
        <v>88</v>
      </c>
      <c r="B91" s="55"/>
      <c r="C91" s="56"/>
      <c r="D91" s="55"/>
      <c r="E91" s="57"/>
      <c r="F91" s="59">
        <v>5</v>
      </c>
      <c r="G91" s="57"/>
      <c r="H91" s="57"/>
      <c r="I91" s="57"/>
      <c r="J91" s="57">
        <f>Table510[[#This Row],[العدد]]*Table510[[#This Row],[الفئة]]</f>
        <v>0</v>
      </c>
      <c r="K9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91" s="57"/>
      <c r="M91" s="57">
        <f>Table510[[#This Row],[اجمالي المبلغ]]-Table510[[#This Row],[المبلغ المدفوع]]</f>
        <v>0</v>
      </c>
      <c r="N91" s="60"/>
    </row>
    <row r="92" spans="1:14" hidden="1" x14ac:dyDescent="0.3">
      <c r="A92" s="52">
        <f t="shared" si="1"/>
        <v>89</v>
      </c>
      <c r="B92" s="55" t="s">
        <v>69</v>
      </c>
      <c r="C92" s="56"/>
      <c r="D92" s="55"/>
      <c r="E92" s="57"/>
      <c r="F92" s="59">
        <v>5</v>
      </c>
      <c r="G92" s="57"/>
      <c r="H92" s="57"/>
      <c r="I92" s="57"/>
      <c r="J92" s="57">
        <f>Table510[[#This Row],[العدد]]*Table510[[#This Row],[الفئة]]</f>
        <v>0</v>
      </c>
      <c r="K9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92" s="57"/>
      <c r="M92" s="57">
        <f>Table510[[#This Row],[اجمالي المبلغ]]-Table510[[#This Row],[المبلغ المدفوع]]</f>
        <v>0</v>
      </c>
      <c r="N92" s="60"/>
    </row>
    <row r="93" spans="1:14" hidden="1" x14ac:dyDescent="0.3">
      <c r="A93" s="52">
        <f t="shared" si="1"/>
        <v>90</v>
      </c>
      <c r="B93" s="55"/>
      <c r="C93" s="56"/>
      <c r="D93" s="55"/>
      <c r="E93" s="57"/>
      <c r="F93" s="59">
        <v>5</v>
      </c>
      <c r="G93" s="57"/>
      <c r="H93" s="57"/>
      <c r="I93" s="57"/>
      <c r="J93" s="57">
        <f>Table510[[#This Row],[العدد]]*Table510[[#This Row],[الفئة]]</f>
        <v>0</v>
      </c>
      <c r="K9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93" s="57"/>
      <c r="M93" s="57">
        <f>Table510[[#This Row],[اجمالي المبلغ]]-Table510[[#This Row],[المبلغ المدفوع]]</f>
        <v>0</v>
      </c>
      <c r="N93" s="60"/>
    </row>
    <row r="94" spans="1:14" hidden="1" x14ac:dyDescent="0.3">
      <c r="A94" s="52">
        <f t="shared" si="1"/>
        <v>91</v>
      </c>
      <c r="B94" s="63" t="s">
        <v>70</v>
      </c>
      <c r="C94" s="56">
        <v>45306</v>
      </c>
      <c r="D94" s="55"/>
      <c r="E94" s="57">
        <v>200</v>
      </c>
      <c r="F94" s="59">
        <v>5</v>
      </c>
      <c r="G94" s="57">
        <v>40</v>
      </c>
      <c r="H94" s="57"/>
      <c r="I94" s="57"/>
      <c r="J94" s="57">
        <f>Table510[[#This Row],[العدد]]*Table510[[#This Row],[الفئة]]</f>
        <v>1000</v>
      </c>
      <c r="K9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94" s="57">
        <f>Table510[[#This Row],[اجمالي المبلغ]]</f>
        <v>40000</v>
      </c>
      <c r="M94" s="57">
        <f>Table510[[#This Row],[اجمالي المبلغ]]-Table510[[#This Row],[المبلغ المدفوع]]</f>
        <v>0</v>
      </c>
      <c r="N94" s="60"/>
    </row>
    <row r="95" spans="1:14" hidden="1" x14ac:dyDescent="0.3">
      <c r="A95" s="52">
        <f t="shared" si="1"/>
        <v>92</v>
      </c>
      <c r="B95" s="63" t="s">
        <v>70</v>
      </c>
      <c r="C95" s="56">
        <v>45306</v>
      </c>
      <c r="D95" s="55"/>
      <c r="E95" s="57">
        <v>200</v>
      </c>
      <c r="F95" s="59">
        <v>5</v>
      </c>
      <c r="G95" s="57">
        <v>38</v>
      </c>
      <c r="H95" s="57"/>
      <c r="I95" s="57"/>
      <c r="J95" s="57">
        <f>Table510[[#This Row],[العدد]]*Table510[[#This Row],[الفئة]]</f>
        <v>1000</v>
      </c>
      <c r="K9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</v>
      </c>
      <c r="L95" s="57">
        <f>Table510[[#This Row],[اجمالي المبلغ]]</f>
        <v>38000</v>
      </c>
      <c r="M95" s="57">
        <f>Table510[[#This Row],[اجمالي المبلغ]]-Table510[[#This Row],[المبلغ المدفوع]]</f>
        <v>0</v>
      </c>
      <c r="N95" s="60"/>
    </row>
    <row r="96" spans="1:14" hidden="1" x14ac:dyDescent="0.3">
      <c r="A96" s="52">
        <f t="shared" si="1"/>
        <v>93</v>
      </c>
      <c r="B96" s="63" t="s">
        <v>70</v>
      </c>
      <c r="C96" s="56">
        <v>45306</v>
      </c>
      <c r="D96" s="55"/>
      <c r="E96" s="57">
        <v>1000</v>
      </c>
      <c r="F96" s="59">
        <v>5</v>
      </c>
      <c r="G96" s="57">
        <v>38</v>
      </c>
      <c r="H96" s="57"/>
      <c r="I96" s="57"/>
      <c r="J96" s="57">
        <f>Table510[[#This Row],[العدد]]*Table510[[#This Row],[الفئة]]</f>
        <v>5000</v>
      </c>
      <c r="K9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190000</v>
      </c>
      <c r="L96" s="57">
        <f>Table510[[#This Row],[اجمالي المبلغ]]</f>
        <v>190000</v>
      </c>
      <c r="M96" s="57">
        <f>Table510[[#This Row],[اجمالي المبلغ]]-Table510[[#This Row],[المبلغ المدفوع]]</f>
        <v>0</v>
      </c>
      <c r="N96" s="60"/>
    </row>
    <row r="97" spans="1:14" hidden="1" x14ac:dyDescent="0.3">
      <c r="A97" s="52">
        <f t="shared" si="1"/>
        <v>94</v>
      </c>
      <c r="B97" s="63"/>
      <c r="C97" s="56"/>
      <c r="D97" s="55"/>
      <c r="E97" s="57"/>
      <c r="F97" s="59">
        <v>5</v>
      </c>
      <c r="G97" s="57"/>
      <c r="H97" s="57"/>
      <c r="I97" s="57"/>
      <c r="J97" s="57">
        <f>Table510[[#This Row],[العدد]]*Table510[[#This Row],[الفئة]]</f>
        <v>0</v>
      </c>
      <c r="K9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97" s="57"/>
      <c r="M97" s="57">
        <f>Table510[[#This Row],[اجمالي المبلغ]]-Table510[[#This Row],[المبلغ المدفوع]]</f>
        <v>0</v>
      </c>
      <c r="N97" s="60"/>
    </row>
    <row r="98" spans="1:14" hidden="1" x14ac:dyDescent="0.3">
      <c r="A98" s="52">
        <f t="shared" si="1"/>
        <v>95</v>
      </c>
      <c r="B98" s="63" t="s">
        <v>41</v>
      </c>
      <c r="C98" s="56">
        <v>45310</v>
      </c>
      <c r="D98" s="55"/>
      <c r="E98" s="57">
        <v>100</v>
      </c>
      <c r="F98" s="59">
        <v>5</v>
      </c>
      <c r="G98" s="57">
        <v>38</v>
      </c>
      <c r="H98" s="57"/>
      <c r="I98" s="57"/>
      <c r="J98" s="57">
        <f>Table510[[#This Row],[العدد]]*Table510[[#This Row],[الفئة]]</f>
        <v>500</v>
      </c>
      <c r="K9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98" s="57"/>
      <c r="M98" s="57">
        <f>Table510[[#This Row],[اجمالي المبلغ]]-Table510[[#This Row],[المبلغ المدفوع]]</f>
        <v>19000</v>
      </c>
      <c r="N98" s="60"/>
    </row>
    <row r="99" spans="1:14" hidden="1" x14ac:dyDescent="0.3">
      <c r="A99" s="52">
        <f t="shared" si="1"/>
        <v>96</v>
      </c>
      <c r="B99" s="63" t="s">
        <v>41</v>
      </c>
      <c r="C99" s="56">
        <v>45310</v>
      </c>
      <c r="D99" s="55"/>
      <c r="E99" s="57">
        <v>100</v>
      </c>
      <c r="F99" s="59">
        <v>5</v>
      </c>
      <c r="G99" s="57">
        <v>38</v>
      </c>
      <c r="H99" s="57"/>
      <c r="I99" s="57"/>
      <c r="J99" s="57">
        <f>Table510[[#This Row],[العدد]]*Table510[[#This Row],[الفئة]]</f>
        <v>500</v>
      </c>
      <c r="K9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99" s="57"/>
      <c r="M99" s="57">
        <f>Table510[[#This Row],[اجمالي المبلغ]]-Table510[[#This Row],[المبلغ المدفوع]]</f>
        <v>19000</v>
      </c>
      <c r="N99" s="60"/>
    </row>
    <row r="100" spans="1:14" hidden="1" x14ac:dyDescent="0.3">
      <c r="A100" s="52">
        <f t="shared" si="1"/>
        <v>97</v>
      </c>
      <c r="B100" s="63" t="s">
        <v>41</v>
      </c>
      <c r="C100" s="56">
        <v>45310</v>
      </c>
      <c r="D100" s="55"/>
      <c r="E100" s="57">
        <v>33</v>
      </c>
      <c r="F100" s="59">
        <v>5</v>
      </c>
      <c r="G100" s="57">
        <v>40</v>
      </c>
      <c r="H100" s="57"/>
      <c r="I100" s="57"/>
      <c r="J100" s="57">
        <f>Table510[[#This Row],[العدد]]*Table510[[#This Row],[الفئة]]</f>
        <v>165</v>
      </c>
      <c r="K10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6600</v>
      </c>
      <c r="L100" s="57"/>
      <c r="M100" s="57">
        <f>Table510[[#This Row],[اجمالي المبلغ]]-Table510[[#This Row],[المبلغ المدفوع]]</f>
        <v>6600</v>
      </c>
      <c r="N100" s="60"/>
    </row>
    <row r="101" spans="1:14" hidden="1" x14ac:dyDescent="0.3">
      <c r="A101" s="52">
        <f t="shared" si="1"/>
        <v>98</v>
      </c>
      <c r="B101" s="63"/>
      <c r="C101" s="56"/>
      <c r="D101" s="55"/>
      <c r="E101" s="57"/>
      <c r="F101" s="59">
        <v>5</v>
      </c>
      <c r="G101" s="57"/>
      <c r="H101" s="57"/>
      <c r="I101" s="57"/>
      <c r="J101" s="57">
        <f>Table510[[#This Row],[العدد]]*Table510[[#This Row],[الفئة]]</f>
        <v>0</v>
      </c>
      <c r="K10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01" s="57"/>
      <c r="M101" s="57">
        <f>Table510[[#This Row],[اجمالي المبلغ]]-Table510[[#This Row],[المبلغ المدفوع]]</f>
        <v>0</v>
      </c>
      <c r="N101" s="60"/>
    </row>
    <row r="102" spans="1:14" hidden="1" x14ac:dyDescent="0.3">
      <c r="A102" s="52">
        <f t="shared" si="1"/>
        <v>99</v>
      </c>
      <c r="B102" s="63" t="s">
        <v>19</v>
      </c>
      <c r="C102" s="56">
        <v>45310</v>
      </c>
      <c r="D102" s="55"/>
      <c r="E102" s="57">
        <v>500</v>
      </c>
      <c r="F102" s="59">
        <v>5</v>
      </c>
      <c r="G102" s="57">
        <v>40</v>
      </c>
      <c r="H102" s="57"/>
      <c r="I102" s="57"/>
      <c r="J102" s="57">
        <f>Table510[[#This Row],[العدد]]*Table510[[#This Row],[الفئة]]</f>
        <v>2500</v>
      </c>
      <c r="K10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100000</v>
      </c>
      <c r="L102" s="57"/>
      <c r="M102" s="57">
        <f>Table510[[#This Row],[اجمالي المبلغ]]-Table510[[#This Row],[المبلغ المدفوع]]</f>
        <v>100000</v>
      </c>
      <c r="N102" s="60"/>
    </row>
    <row r="103" spans="1:14" hidden="1" x14ac:dyDescent="0.3">
      <c r="A103" s="52">
        <f t="shared" si="1"/>
        <v>100</v>
      </c>
      <c r="B103" s="63"/>
      <c r="C103" s="56"/>
      <c r="D103" s="55"/>
      <c r="E103" s="57"/>
      <c r="F103" s="59">
        <v>5</v>
      </c>
      <c r="G103" s="57"/>
      <c r="H103" s="57"/>
      <c r="I103" s="57"/>
      <c r="J103" s="57">
        <f>Table510[[#This Row],[العدد]]*Table510[[#This Row],[الفئة]]</f>
        <v>0</v>
      </c>
      <c r="K10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03" s="57"/>
      <c r="M103" s="57">
        <f>Table510[[#This Row],[اجمالي المبلغ]]-Table510[[#This Row],[المبلغ المدفوع]]</f>
        <v>0</v>
      </c>
      <c r="N103" s="60"/>
    </row>
    <row r="104" spans="1:14" hidden="1" x14ac:dyDescent="0.3">
      <c r="A104" s="52">
        <f t="shared" si="1"/>
        <v>101</v>
      </c>
      <c r="B104" s="63" t="s">
        <v>71</v>
      </c>
      <c r="C104" s="56">
        <v>45292</v>
      </c>
      <c r="D104" s="55"/>
      <c r="E104" s="57">
        <v>3</v>
      </c>
      <c r="F104" s="59">
        <v>5</v>
      </c>
      <c r="G104" s="57">
        <v>40</v>
      </c>
      <c r="H104" s="57"/>
      <c r="I104" s="57"/>
      <c r="J104" s="57">
        <f>Table510[[#This Row],[العدد]]*Table510[[#This Row],[الفئة]]</f>
        <v>15</v>
      </c>
      <c r="K10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104" s="57"/>
      <c r="M104" s="57">
        <f>Table510[[#This Row],[اجمالي المبلغ]]-Table510[[#This Row],[المبلغ المدفوع]]</f>
        <v>600</v>
      </c>
      <c r="N104" s="60"/>
    </row>
    <row r="105" spans="1:14" hidden="1" x14ac:dyDescent="0.3">
      <c r="A105" s="52">
        <f t="shared" si="1"/>
        <v>102</v>
      </c>
      <c r="B105" s="63"/>
      <c r="C105" s="56"/>
      <c r="D105" s="55"/>
      <c r="E105" s="57"/>
      <c r="F105" s="59">
        <v>5</v>
      </c>
      <c r="G105" s="57"/>
      <c r="H105" s="57"/>
      <c r="I105" s="57"/>
      <c r="J105" s="57">
        <f>Table510[[#This Row],[العدد]]*Table510[[#This Row],[الفئة]]</f>
        <v>0</v>
      </c>
      <c r="K10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05" s="57"/>
      <c r="M105" s="57">
        <f>Table510[[#This Row],[اجمالي المبلغ]]-Table510[[#This Row],[المبلغ المدفوع]]</f>
        <v>0</v>
      </c>
      <c r="N105" s="60"/>
    </row>
    <row r="106" spans="1:14" hidden="1" x14ac:dyDescent="0.3">
      <c r="A106" s="52">
        <f t="shared" si="1"/>
        <v>103</v>
      </c>
      <c r="B106" s="63" t="s">
        <v>72</v>
      </c>
      <c r="C106" s="56">
        <v>45292</v>
      </c>
      <c r="D106" s="55"/>
      <c r="E106" s="57">
        <v>7</v>
      </c>
      <c r="F106" s="59">
        <v>5</v>
      </c>
      <c r="G106" s="57">
        <v>40</v>
      </c>
      <c r="H106" s="57"/>
      <c r="I106" s="57"/>
      <c r="J106" s="57">
        <f>Table510[[#This Row],[العدد]]*Table510[[#This Row],[الفئة]]</f>
        <v>35</v>
      </c>
      <c r="K10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1400</v>
      </c>
      <c r="L106" s="57"/>
      <c r="M106" s="57">
        <f>Table510[[#This Row],[اجمالي المبلغ]]-Table510[[#This Row],[المبلغ المدفوع]]</f>
        <v>1400</v>
      </c>
      <c r="N106" s="60" t="s">
        <v>34</v>
      </c>
    </row>
    <row r="107" spans="1:14" hidden="1" x14ac:dyDescent="0.3">
      <c r="A107" s="52">
        <f t="shared" si="1"/>
        <v>104</v>
      </c>
      <c r="B107" s="63"/>
      <c r="C107" s="56"/>
      <c r="D107" s="55"/>
      <c r="E107" s="57"/>
      <c r="F107" s="59">
        <v>5</v>
      </c>
      <c r="G107" s="57"/>
      <c r="H107" s="57"/>
      <c r="I107" s="57"/>
      <c r="J107" s="57">
        <f>Table510[[#This Row],[العدد]]*Table510[[#This Row],[الفئة]]</f>
        <v>0</v>
      </c>
      <c r="K10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07" s="57"/>
      <c r="M107" s="57">
        <f>Table510[[#This Row],[اجمالي المبلغ]]-Table510[[#This Row],[المبلغ المدفوع]]</f>
        <v>0</v>
      </c>
      <c r="N107" s="60"/>
    </row>
    <row r="108" spans="1:14" hidden="1" x14ac:dyDescent="0.3">
      <c r="A108" s="52">
        <f t="shared" si="1"/>
        <v>105</v>
      </c>
      <c r="B108" s="63" t="s">
        <v>44</v>
      </c>
      <c r="C108" s="56">
        <v>45292</v>
      </c>
      <c r="D108" s="55"/>
      <c r="E108" s="57">
        <v>6</v>
      </c>
      <c r="F108" s="59">
        <v>5</v>
      </c>
      <c r="G108" s="57">
        <v>40</v>
      </c>
      <c r="H108" s="57"/>
      <c r="I108" s="57"/>
      <c r="J108" s="57">
        <f>Table510[[#This Row],[العدد]]*Table510[[#This Row],[الفئة]]</f>
        <v>30</v>
      </c>
      <c r="K10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1200</v>
      </c>
      <c r="L108" s="57"/>
      <c r="M108" s="57">
        <f>Table510[[#This Row],[اجمالي المبلغ]]-Table510[[#This Row],[المبلغ المدفوع]]</f>
        <v>1200</v>
      </c>
      <c r="N108" s="60" t="s">
        <v>34</v>
      </c>
    </row>
    <row r="109" spans="1:14" hidden="1" x14ac:dyDescent="0.3">
      <c r="A109" s="52">
        <f t="shared" si="1"/>
        <v>106</v>
      </c>
      <c r="B109" s="63" t="s">
        <v>44</v>
      </c>
      <c r="C109" s="56">
        <v>45292</v>
      </c>
      <c r="D109" s="55"/>
      <c r="E109" s="57">
        <v>3</v>
      </c>
      <c r="F109" s="59">
        <v>5</v>
      </c>
      <c r="G109" s="57">
        <v>40</v>
      </c>
      <c r="H109" s="57"/>
      <c r="I109" s="57"/>
      <c r="J109" s="57">
        <f>Table510[[#This Row],[العدد]]*Table510[[#This Row],[الفئة]]</f>
        <v>15</v>
      </c>
      <c r="K10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109" s="57"/>
      <c r="M109" s="57">
        <f>Table510[[#This Row],[اجمالي المبلغ]]-Table510[[#This Row],[المبلغ المدفوع]]</f>
        <v>600</v>
      </c>
      <c r="N109" s="60" t="s">
        <v>34</v>
      </c>
    </row>
    <row r="110" spans="1:14" hidden="1" x14ac:dyDescent="0.3">
      <c r="A110" s="52">
        <f t="shared" si="1"/>
        <v>107</v>
      </c>
      <c r="B110" s="63"/>
      <c r="C110" s="56"/>
      <c r="D110" s="55"/>
      <c r="E110" s="57"/>
      <c r="F110" s="59">
        <v>5</v>
      </c>
      <c r="G110" s="57"/>
      <c r="H110" s="57"/>
      <c r="I110" s="57"/>
      <c r="J110" s="57">
        <f>Table510[[#This Row],[العدد]]*Table510[[#This Row],[الفئة]]</f>
        <v>0</v>
      </c>
      <c r="K11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10" s="57"/>
      <c r="M110" s="57">
        <f>Table510[[#This Row],[اجمالي المبلغ]]-Table510[[#This Row],[المبلغ المدفوع]]</f>
        <v>0</v>
      </c>
      <c r="N110" s="60"/>
    </row>
    <row r="111" spans="1:14" hidden="1" x14ac:dyDescent="0.3">
      <c r="A111" s="52">
        <f t="shared" si="1"/>
        <v>108</v>
      </c>
      <c r="B111" s="63" t="s">
        <v>49</v>
      </c>
      <c r="C111" s="56">
        <v>45292</v>
      </c>
      <c r="D111" s="55"/>
      <c r="E111" s="57">
        <v>1</v>
      </c>
      <c r="F111" s="59">
        <v>5</v>
      </c>
      <c r="G111" s="57">
        <v>40</v>
      </c>
      <c r="H111" s="57"/>
      <c r="I111" s="57"/>
      <c r="J111" s="57">
        <f>Table510[[#This Row],[العدد]]*Table510[[#This Row],[الفئة]]</f>
        <v>5</v>
      </c>
      <c r="K11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11" s="57"/>
      <c r="M111" s="57">
        <f>Table510[[#This Row],[اجمالي المبلغ]]-Table510[[#This Row],[المبلغ المدفوع]]</f>
        <v>200</v>
      </c>
      <c r="N111" s="60"/>
    </row>
    <row r="112" spans="1:14" hidden="1" x14ac:dyDescent="0.3">
      <c r="A112" s="52">
        <f t="shared" si="1"/>
        <v>109</v>
      </c>
      <c r="B112" s="63"/>
      <c r="C112" s="56"/>
      <c r="D112" s="55"/>
      <c r="E112" s="57"/>
      <c r="F112" s="59">
        <v>5</v>
      </c>
      <c r="G112" s="57"/>
      <c r="H112" s="57"/>
      <c r="I112" s="57"/>
      <c r="J112" s="57">
        <f>Table510[[#This Row],[العدد]]*Table510[[#This Row],[الفئة]]</f>
        <v>0</v>
      </c>
      <c r="K11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12" s="57"/>
      <c r="M112" s="57">
        <f>Table510[[#This Row],[اجمالي المبلغ]]-Table510[[#This Row],[المبلغ المدفوع]]</f>
        <v>0</v>
      </c>
      <c r="N112" s="60"/>
    </row>
    <row r="113" spans="1:14" hidden="1" x14ac:dyDescent="0.3">
      <c r="A113" s="52">
        <f t="shared" si="1"/>
        <v>110</v>
      </c>
      <c r="B113" s="63" t="s">
        <v>73</v>
      </c>
      <c r="C113" s="56">
        <v>45292</v>
      </c>
      <c r="D113" s="55"/>
      <c r="E113" s="57">
        <v>1</v>
      </c>
      <c r="F113" s="59">
        <v>5</v>
      </c>
      <c r="G113" s="57">
        <v>40</v>
      </c>
      <c r="H113" s="57"/>
      <c r="I113" s="57"/>
      <c r="J113" s="57">
        <f>Table510[[#This Row],[العدد]]*Table510[[#This Row],[الفئة]]</f>
        <v>5</v>
      </c>
      <c r="K11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13" s="57"/>
      <c r="M113" s="57">
        <f>Table510[[#This Row],[اجمالي المبلغ]]-Table510[[#This Row],[المبلغ المدفوع]]</f>
        <v>200</v>
      </c>
      <c r="N113" s="60"/>
    </row>
    <row r="114" spans="1:14" hidden="1" x14ac:dyDescent="0.3">
      <c r="A114" s="52">
        <f t="shared" si="1"/>
        <v>111</v>
      </c>
      <c r="B114" s="63"/>
      <c r="C114" s="56"/>
      <c r="D114" s="55"/>
      <c r="E114" s="57"/>
      <c r="F114" s="59">
        <v>5</v>
      </c>
      <c r="G114" s="57"/>
      <c r="H114" s="57"/>
      <c r="I114" s="57"/>
      <c r="J114" s="57">
        <f>Table510[[#This Row],[العدد]]*Table510[[#This Row],[الفئة]]</f>
        <v>0</v>
      </c>
      <c r="K11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14" s="57"/>
      <c r="M114" s="57">
        <f>Table510[[#This Row],[اجمالي المبلغ]]-Table510[[#This Row],[المبلغ المدفوع]]</f>
        <v>0</v>
      </c>
      <c r="N114" s="60"/>
    </row>
    <row r="115" spans="1:14" hidden="1" x14ac:dyDescent="0.3">
      <c r="A115" s="52">
        <f t="shared" si="1"/>
        <v>112</v>
      </c>
      <c r="B115" s="63" t="s">
        <v>74</v>
      </c>
      <c r="C115" s="56">
        <v>45293</v>
      </c>
      <c r="D115" s="55"/>
      <c r="E115" s="57">
        <v>8</v>
      </c>
      <c r="F115" s="59">
        <v>5</v>
      </c>
      <c r="G115" s="57">
        <v>40</v>
      </c>
      <c r="H115" s="57"/>
      <c r="I115" s="57"/>
      <c r="J115" s="57">
        <f>Table510[[#This Row],[العدد]]*Table510[[#This Row],[الفئة]]</f>
        <v>40</v>
      </c>
      <c r="K11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1600</v>
      </c>
      <c r="L115" s="57"/>
      <c r="M115" s="57">
        <f>Table510[[#This Row],[اجمالي المبلغ]]-Table510[[#This Row],[المبلغ المدفوع]]</f>
        <v>1600</v>
      </c>
      <c r="N115" s="60"/>
    </row>
    <row r="116" spans="1:14" hidden="1" x14ac:dyDescent="0.3">
      <c r="A116" s="52">
        <f t="shared" si="1"/>
        <v>113</v>
      </c>
      <c r="B116" s="63" t="s">
        <v>74</v>
      </c>
      <c r="C116" s="56">
        <v>45293</v>
      </c>
      <c r="D116" s="55"/>
      <c r="E116" s="57">
        <v>5</v>
      </c>
      <c r="F116" s="59">
        <v>5</v>
      </c>
      <c r="G116" s="57">
        <v>40</v>
      </c>
      <c r="H116" s="57"/>
      <c r="I116" s="57"/>
      <c r="J116" s="57">
        <f>Table510[[#This Row],[العدد]]*Table510[[#This Row],[الفئة]]</f>
        <v>25</v>
      </c>
      <c r="K11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116" s="57"/>
      <c r="M116" s="57">
        <f>Table510[[#This Row],[اجمالي المبلغ]]-Table510[[#This Row],[المبلغ المدفوع]]</f>
        <v>1000</v>
      </c>
      <c r="N116" s="60"/>
    </row>
    <row r="117" spans="1:14" hidden="1" x14ac:dyDescent="0.3">
      <c r="A117" s="52">
        <f t="shared" si="1"/>
        <v>114</v>
      </c>
      <c r="B117" s="63" t="s">
        <v>74</v>
      </c>
      <c r="C117" s="56">
        <v>45293</v>
      </c>
      <c r="D117" s="55"/>
      <c r="E117" s="57">
        <v>1</v>
      </c>
      <c r="F117" s="59">
        <v>5</v>
      </c>
      <c r="G117" s="57">
        <v>40</v>
      </c>
      <c r="H117" s="57"/>
      <c r="I117" s="57"/>
      <c r="J117" s="57">
        <f>Table510[[#This Row],[العدد]]*Table510[[#This Row],[الفئة]]</f>
        <v>5</v>
      </c>
      <c r="K11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17" s="57"/>
      <c r="M117" s="57">
        <f>Table510[[#This Row],[اجمالي المبلغ]]-Table510[[#This Row],[المبلغ المدفوع]]</f>
        <v>200</v>
      </c>
      <c r="N117" s="60"/>
    </row>
    <row r="118" spans="1:14" hidden="1" x14ac:dyDescent="0.3">
      <c r="A118" s="52">
        <f t="shared" si="1"/>
        <v>115</v>
      </c>
      <c r="B118" s="63"/>
      <c r="C118" s="56"/>
      <c r="D118" s="55"/>
      <c r="E118" s="57"/>
      <c r="F118" s="59">
        <v>5</v>
      </c>
      <c r="G118" s="57"/>
      <c r="H118" s="57"/>
      <c r="I118" s="57"/>
      <c r="J118" s="57">
        <f>Table510[[#This Row],[العدد]]*Table510[[#This Row],[الفئة]]</f>
        <v>0</v>
      </c>
      <c r="K11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18" s="57"/>
      <c r="M118" s="57">
        <f>Table510[[#This Row],[اجمالي المبلغ]]-Table510[[#This Row],[المبلغ المدفوع]]</f>
        <v>0</v>
      </c>
      <c r="N118" s="60"/>
    </row>
    <row r="119" spans="1:14" hidden="1" x14ac:dyDescent="0.3">
      <c r="A119" s="52">
        <f t="shared" si="1"/>
        <v>116</v>
      </c>
      <c r="B119" s="63" t="s">
        <v>31</v>
      </c>
      <c r="C119" s="56">
        <v>45294</v>
      </c>
      <c r="D119" s="55"/>
      <c r="E119" s="57">
        <v>1</v>
      </c>
      <c r="F119" s="59">
        <v>5</v>
      </c>
      <c r="G119" s="57">
        <v>40</v>
      </c>
      <c r="H119" s="57"/>
      <c r="I119" s="57"/>
      <c r="J119" s="57">
        <f>Table510[[#This Row],[العدد]]*Table510[[#This Row],[الفئة]]</f>
        <v>5</v>
      </c>
      <c r="K11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19" s="57">
        <v>50</v>
      </c>
      <c r="M119" s="57">
        <f>Table510[[#This Row],[اجمالي المبلغ]]-Table510[[#This Row],[المبلغ المدفوع]]</f>
        <v>150</v>
      </c>
      <c r="N119" s="60"/>
    </row>
    <row r="120" spans="1:14" hidden="1" x14ac:dyDescent="0.3">
      <c r="A120" s="52">
        <f t="shared" si="1"/>
        <v>117</v>
      </c>
      <c r="B120" s="63"/>
      <c r="C120" s="56"/>
      <c r="D120" s="55"/>
      <c r="E120" s="57"/>
      <c r="F120" s="59">
        <v>5</v>
      </c>
      <c r="G120" s="57"/>
      <c r="H120" s="57"/>
      <c r="I120" s="57"/>
      <c r="J120" s="57">
        <f>Table510[[#This Row],[العدد]]*Table510[[#This Row],[الفئة]]</f>
        <v>0</v>
      </c>
      <c r="K12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0" s="57"/>
      <c r="M120" s="57">
        <f>Table510[[#This Row],[اجمالي المبلغ]]-Table510[[#This Row],[المبلغ المدفوع]]</f>
        <v>0</v>
      </c>
      <c r="N120" s="60"/>
    </row>
    <row r="121" spans="1:14" hidden="1" x14ac:dyDescent="0.3">
      <c r="A121" s="52">
        <f t="shared" si="1"/>
        <v>118</v>
      </c>
      <c r="B121" s="63" t="s">
        <v>75</v>
      </c>
      <c r="C121" s="56">
        <v>45298</v>
      </c>
      <c r="D121" s="55"/>
      <c r="E121" s="57">
        <v>1</v>
      </c>
      <c r="F121" s="59">
        <v>5</v>
      </c>
      <c r="G121" s="57">
        <v>40</v>
      </c>
      <c r="H121" s="57"/>
      <c r="I121" s="57"/>
      <c r="J121" s="57">
        <f>Table510[[#This Row],[العدد]]*Table510[[#This Row],[الفئة]]</f>
        <v>5</v>
      </c>
      <c r="K12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21" s="57"/>
      <c r="M121" s="57">
        <f>Table510[[#This Row],[اجمالي المبلغ]]-Table510[[#This Row],[المبلغ المدفوع]]</f>
        <v>200</v>
      </c>
      <c r="N121" s="60"/>
    </row>
    <row r="122" spans="1:14" hidden="1" x14ac:dyDescent="0.3">
      <c r="A122" s="52">
        <f t="shared" si="1"/>
        <v>119</v>
      </c>
      <c r="B122" s="63"/>
      <c r="C122" s="56"/>
      <c r="D122" s="55"/>
      <c r="E122" s="57"/>
      <c r="F122" s="59">
        <v>5</v>
      </c>
      <c r="G122" s="57"/>
      <c r="H122" s="57"/>
      <c r="I122" s="57"/>
      <c r="J122" s="57">
        <f>Table510[[#This Row],[العدد]]*Table510[[#This Row],[الفئة]]</f>
        <v>0</v>
      </c>
      <c r="K12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2" s="57"/>
      <c r="M122" s="57">
        <f>Table510[[#This Row],[اجمالي المبلغ]]-Table510[[#This Row],[المبلغ المدفوع]]</f>
        <v>0</v>
      </c>
      <c r="N122" s="60"/>
    </row>
    <row r="123" spans="1:14" hidden="1" x14ac:dyDescent="0.3">
      <c r="A123" s="52">
        <f t="shared" si="1"/>
        <v>120</v>
      </c>
      <c r="B123" s="63" t="s">
        <v>76</v>
      </c>
      <c r="C123" s="56">
        <v>45298</v>
      </c>
      <c r="D123" s="55"/>
      <c r="E123" s="57">
        <v>1</v>
      </c>
      <c r="F123" s="59">
        <v>5</v>
      </c>
      <c r="G123" s="57">
        <v>40</v>
      </c>
      <c r="H123" s="57"/>
      <c r="I123" s="57"/>
      <c r="J123" s="57">
        <f>Table510[[#This Row],[العدد]]*Table510[[#This Row],[الفئة]]</f>
        <v>5</v>
      </c>
      <c r="K12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23" s="57"/>
      <c r="M123" s="57">
        <f>Table510[[#This Row],[اجمالي المبلغ]]-Table510[[#This Row],[المبلغ المدفوع]]</f>
        <v>200</v>
      </c>
      <c r="N123" s="60"/>
    </row>
    <row r="124" spans="1:14" hidden="1" x14ac:dyDescent="0.3">
      <c r="A124" s="52">
        <f t="shared" si="1"/>
        <v>121</v>
      </c>
      <c r="B124" s="63"/>
      <c r="C124" s="56"/>
      <c r="D124" s="55"/>
      <c r="E124" s="57"/>
      <c r="F124" s="59">
        <v>5</v>
      </c>
      <c r="G124" s="57"/>
      <c r="H124" s="57"/>
      <c r="I124" s="57"/>
      <c r="J124" s="57">
        <f>Table510[[#This Row],[العدد]]*Table510[[#This Row],[الفئة]]</f>
        <v>0</v>
      </c>
      <c r="K12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4" s="57"/>
      <c r="M124" s="57">
        <f>Table510[[#This Row],[اجمالي المبلغ]]-Table510[[#This Row],[المبلغ المدفوع]]</f>
        <v>0</v>
      </c>
      <c r="N124" s="60"/>
    </row>
    <row r="125" spans="1:14" hidden="1" x14ac:dyDescent="0.3">
      <c r="A125" s="52">
        <f t="shared" si="1"/>
        <v>122</v>
      </c>
      <c r="B125" s="63" t="s">
        <v>22</v>
      </c>
      <c r="C125" s="56">
        <v>45299</v>
      </c>
      <c r="D125" s="55"/>
      <c r="E125" s="57">
        <v>4</v>
      </c>
      <c r="F125" s="59">
        <v>5</v>
      </c>
      <c r="G125" s="57">
        <v>40</v>
      </c>
      <c r="H125" s="57"/>
      <c r="I125" s="57"/>
      <c r="J125" s="57">
        <f>Table510[[#This Row],[العدد]]*Table510[[#This Row],[الفئة]]</f>
        <v>20</v>
      </c>
      <c r="K12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</v>
      </c>
      <c r="L125" s="57">
        <v>800</v>
      </c>
      <c r="M125" s="57">
        <f>Table510[[#This Row],[اجمالي المبلغ]]-Table510[[#This Row],[المبلغ المدفوع]]</f>
        <v>0</v>
      </c>
      <c r="N125" s="60"/>
    </row>
    <row r="126" spans="1:14" hidden="1" x14ac:dyDescent="0.3">
      <c r="A126" s="52">
        <f t="shared" si="1"/>
        <v>123</v>
      </c>
      <c r="B126" s="63"/>
      <c r="C126" s="56"/>
      <c r="D126" s="55"/>
      <c r="E126" s="57"/>
      <c r="F126" s="59">
        <v>5</v>
      </c>
      <c r="G126" s="57"/>
      <c r="H126" s="57"/>
      <c r="I126" s="57"/>
      <c r="J126" s="57">
        <f>Table510[[#This Row],[العدد]]*Table510[[#This Row],[الفئة]]</f>
        <v>0</v>
      </c>
      <c r="K12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6" s="57"/>
      <c r="M126" s="57">
        <f>Table510[[#This Row],[اجمالي المبلغ]]-Table510[[#This Row],[المبلغ المدفوع]]</f>
        <v>0</v>
      </c>
      <c r="N126" s="60"/>
    </row>
    <row r="127" spans="1:14" hidden="1" x14ac:dyDescent="0.3">
      <c r="A127" s="52">
        <f t="shared" si="1"/>
        <v>124</v>
      </c>
      <c r="B127" s="63" t="s">
        <v>21</v>
      </c>
      <c r="C127" s="56">
        <v>45299</v>
      </c>
      <c r="D127" s="55"/>
      <c r="E127" s="57">
        <v>1</v>
      </c>
      <c r="F127" s="59">
        <v>5</v>
      </c>
      <c r="G127" s="57">
        <v>40</v>
      </c>
      <c r="H127" s="57"/>
      <c r="I127" s="57"/>
      <c r="J127" s="57">
        <f>Table510[[#This Row],[العدد]]*Table510[[#This Row],[الفئة]]</f>
        <v>5</v>
      </c>
      <c r="K12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27" s="57"/>
      <c r="M127" s="57">
        <f>Table510[[#This Row],[اجمالي المبلغ]]-Table510[[#This Row],[المبلغ المدفوع]]</f>
        <v>200</v>
      </c>
      <c r="N127" s="60"/>
    </row>
    <row r="128" spans="1:14" hidden="1" x14ac:dyDescent="0.3">
      <c r="A128" s="52">
        <f t="shared" si="1"/>
        <v>125</v>
      </c>
      <c r="B128" s="63"/>
      <c r="C128" s="56"/>
      <c r="D128" s="55"/>
      <c r="E128" s="57"/>
      <c r="F128" s="59">
        <v>5</v>
      </c>
      <c r="G128" s="57"/>
      <c r="H128" s="57"/>
      <c r="I128" s="57"/>
      <c r="J128" s="57">
        <f>Table510[[#This Row],[العدد]]*Table510[[#This Row],[الفئة]]</f>
        <v>0</v>
      </c>
      <c r="K12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28" s="57"/>
      <c r="M128" s="57">
        <f>Table510[[#This Row],[اجمالي المبلغ]]-Table510[[#This Row],[المبلغ المدفوع]]</f>
        <v>0</v>
      </c>
      <c r="N128" s="60"/>
    </row>
    <row r="129" spans="1:14" hidden="1" x14ac:dyDescent="0.3">
      <c r="A129" s="52">
        <f t="shared" si="1"/>
        <v>126</v>
      </c>
      <c r="B129" s="63" t="s">
        <v>45</v>
      </c>
      <c r="C129" s="56">
        <v>45303</v>
      </c>
      <c r="D129" s="55"/>
      <c r="E129" s="57">
        <v>15</v>
      </c>
      <c r="F129" s="59">
        <v>5</v>
      </c>
      <c r="G129" s="57">
        <v>39</v>
      </c>
      <c r="H129" s="57"/>
      <c r="I129" s="57"/>
      <c r="J129" s="57">
        <f>Table510[[#This Row],[العدد]]*Table510[[#This Row],[الفئة]]</f>
        <v>75</v>
      </c>
      <c r="K12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2925</v>
      </c>
      <c r="L129" s="57">
        <v>2925</v>
      </c>
      <c r="M129" s="57">
        <f>Table510[[#This Row],[اجمالي المبلغ]]-Table510[[#This Row],[المبلغ المدفوع]]</f>
        <v>0</v>
      </c>
      <c r="N129" s="60"/>
    </row>
    <row r="130" spans="1:14" hidden="1" x14ac:dyDescent="0.3">
      <c r="A130" s="52">
        <f t="shared" si="1"/>
        <v>127</v>
      </c>
      <c r="B130" s="63"/>
      <c r="C130" s="56"/>
      <c r="D130" s="55"/>
      <c r="E130" s="57"/>
      <c r="F130" s="59">
        <v>5</v>
      </c>
      <c r="G130" s="57"/>
      <c r="H130" s="57"/>
      <c r="I130" s="57"/>
      <c r="J130" s="57">
        <f>Table510[[#This Row],[العدد]]*Table510[[#This Row],[الفئة]]</f>
        <v>0</v>
      </c>
      <c r="K13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30" s="57"/>
      <c r="M130" s="57">
        <f>Table510[[#This Row],[اجمالي المبلغ]]-Table510[[#This Row],[المبلغ المدفوع]]</f>
        <v>0</v>
      </c>
      <c r="N130" s="60"/>
    </row>
    <row r="131" spans="1:14" hidden="1" x14ac:dyDescent="0.3">
      <c r="A131" s="52">
        <f t="shared" si="1"/>
        <v>128</v>
      </c>
      <c r="B131" s="63" t="s">
        <v>77</v>
      </c>
      <c r="C131" s="56">
        <v>45303</v>
      </c>
      <c r="D131" s="55"/>
      <c r="E131" s="57">
        <v>1</v>
      </c>
      <c r="F131" s="59">
        <v>5</v>
      </c>
      <c r="G131" s="57">
        <v>40</v>
      </c>
      <c r="H131" s="57"/>
      <c r="I131" s="57"/>
      <c r="J131" s="57">
        <f>Table510[[#This Row],[العدد]]*Table510[[#This Row],[الفئة]]</f>
        <v>5</v>
      </c>
      <c r="K13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31" s="57">
        <f>Table510[[#This Row],[اجمالي المبلغ]]</f>
        <v>200</v>
      </c>
      <c r="M131" s="57">
        <f>Table510[[#This Row],[اجمالي المبلغ]]-Table510[[#This Row],[المبلغ المدفوع]]</f>
        <v>0</v>
      </c>
      <c r="N131" s="60"/>
    </row>
    <row r="132" spans="1:14" hidden="1" x14ac:dyDescent="0.3">
      <c r="A132" s="52">
        <f t="shared" si="1"/>
        <v>129</v>
      </c>
      <c r="B132" s="63" t="s">
        <v>77</v>
      </c>
      <c r="C132" s="56">
        <v>45303</v>
      </c>
      <c r="D132" s="55"/>
      <c r="E132" s="57">
        <v>2</v>
      </c>
      <c r="F132" s="59">
        <v>5</v>
      </c>
      <c r="G132" s="57">
        <v>38</v>
      </c>
      <c r="H132" s="57"/>
      <c r="I132" s="57"/>
      <c r="J132" s="57">
        <f>Table510[[#This Row],[العدد]]*Table510[[#This Row],[الفئة]]</f>
        <v>10</v>
      </c>
      <c r="K13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</v>
      </c>
      <c r="L132" s="57">
        <f>Table510[[#This Row],[اجمالي المبلغ]]</f>
        <v>380</v>
      </c>
      <c r="M132" s="57">
        <f>Table510[[#This Row],[اجمالي المبلغ]]-Table510[[#This Row],[المبلغ المدفوع]]</f>
        <v>0</v>
      </c>
      <c r="N132" s="60"/>
    </row>
    <row r="133" spans="1:14" hidden="1" x14ac:dyDescent="0.3">
      <c r="A133" s="52">
        <f t="shared" si="1"/>
        <v>130</v>
      </c>
      <c r="B133" s="63"/>
      <c r="C133" s="56"/>
      <c r="D133" s="55"/>
      <c r="E133" s="57"/>
      <c r="F133" s="59">
        <v>5</v>
      </c>
      <c r="G133" s="57"/>
      <c r="H133" s="57"/>
      <c r="I133" s="57"/>
      <c r="J133" s="57">
        <f>Table510[[#This Row],[العدد]]*Table510[[#This Row],[الفئة]]</f>
        <v>0</v>
      </c>
      <c r="K13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33" s="57"/>
      <c r="M133" s="57">
        <f>Table510[[#This Row],[اجمالي المبلغ]]-Table510[[#This Row],[المبلغ المدفوع]]</f>
        <v>0</v>
      </c>
      <c r="N133" s="60"/>
    </row>
    <row r="134" spans="1:14" hidden="1" x14ac:dyDescent="0.3">
      <c r="A134" s="52">
        <f t="shared" ref="A134:A197" si="2">A133+1</f>
        <v>131</v>
      </c>
      <c r="B134" s="63" t="s">
        <v>31</v>
      </c>
      <c r="C134" s="56">
        <v>45302</v>
      </c>
      <c r="D134" s="55"/>
      <c r="E134" s="57">
        <v>1</v>
      </c>
      <c r="F134" s="59">
        <v>5</v>
      </c>
      <c r="G134" s="57">
        <v>40</v>
      </c>
      <c r="H134" s="57"/>
      <c r="I134" s="57"/>
      <c r="J134" s="57">
        <f>Table510[[#This Row],[العدد]]*Table510[[#This Row],[الفئة]]</f>
        <v>5</v>
      </c>
      <c r="K13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134" s="57">
        <v>200</v>
      </c>
      <c r="M134" s="57">
        <f>Table510[[#This Row],[اجمالي المبلغ]]-Table510[[#This Row],[المبلغ المدفوع]]</f>
        <v>0</v>
      </c>
      <c r="N134" s="60"/>
    </row>
    <row r="135" spans="1:14" hidden="1" x14ac:dyDescent="0.3">
      <c r="A135" s="52">
        <f t="shared" si="2"/>
        <v>132</v>
      </c>
      <c r="B135" s="63"/>
      <c r="C135" s="56"/>
      <c r="D135" s="55"/>
      <c r="E135" s="57"/>
      <c r="F135" s="59">
        <v>5</v>
      </c>
      <c r="G135" s="57"/>
      <c r="H135" s="57"/>
      <c r="I135" s="57"/>
      <c r="J135" s="57">
        <f>Table510[[#This Row],[العدد]]*Table510[[#This Row],[الفئة]]</f>
        <v>0</v>
      </c>
      <c r="K13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35" s="57"/>
      <c r="M135" s="57">
        <f>Table510[[#This Row],[اجمالي المبلغ]]-Table510[[#This Row],[المبلغ المدفوع]]</f>
        <v>0</v>
      </c>
      <c r="N135" s="60"/>
    </row>
    <row r="136" spans="1:14" hidden="1" x14ac:dyDescent="0.3">
      <c r="A136" s="52">
        <f t="shared" si="2"/>
        <v>133</v>
      </c>
      <c r="B136" s="63" t="s">
        <v>48</v>
      </c>
      <c r="C136" s="56">
        <v>45313</v>
      </c>
      <c r="D136" s="55"/>
      <c r="E136" s="57">
        <v>200</v>
      </c>
      <c r="F136" s="59">
        <v>5</v>
      </c>
      <c r="G136" s="57">
        <v>40</v>
      </c>
      <c r="H136" s="57"/>
      <c r="I136" s="57"/>
      <c r="J136" s="57">
        <f>Table510[[#This Row],[العدد]]*Table510[[#This Row],[الفئة]]</f>
        <v>1000</v>
      </c>
      <c r="K13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136" s="57"/>
      <c r="M136" s="57">
        <f>Table510[[#This Row],[اجمالي المبلغ]]-Table510[[#This Row],[المبلغ المدفوع]]</f>
        <v>40000</v>
      </c>
      <c r="N136" s="60"/>
    </row>
    <row r="137" spans="1:14" hidden="1" x14ac:dyDescent="0.3">
      <c r="A137" s="52">
        <f t="shared" si="2"/>
        <v>134</v>
      </c>
      <c r="B137" s="63"/>
      <c r="C137" s="56"/>
      <c r="D137" s="55"/>
      <c r="E137" s="57"/>
      <c r="F137" s="59">
        <v>5</v>
      </c>
      <c r="G137" s="57"/>
      <c r="H137" s="57"/>
      <c r="I137" s="57"/>
      <c r="J137" s="57">
        <f>Table510[[#This Row],[العدد]]*Table510[[#This Row],[الفئة]]</f>
        <v>0</v>
      </c>
      <c r="K13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37" s="57"/>
      <c r="M137" s="57">
        <f>Table510[[#This Row],[اجمالي المبلغ]]-Table510[[#This Row],[المبلغ المدفوع]]</f>
        <v>0</v>
      </c>
      <c r="N137" s="60"/>
    </row>
    <row r="138" spans="1:14" hidden="1" x14ac:dyDescent="0.3">
      <c r="A138" s="52">
        <f t="shared" si="2"/>
        <v>135</v>
      </c>
      <c r="B138" s="63" t="s">
        <v>31</v>
      </c>
      <c r="C138" s="56">
        <v>45314</v>
      </c>
      <c r="D138" s="55"/>
      <c r="E138" s="57">
        <v>3</v>
      </c>
      <c r="F138" s="59">
        <v>5</v>
      </c>
      <c r="G138" s="57">
        <v>40</v>
      </c>
      <c r="H138" s="57"/>
      <c r="I138" s="57"/>
      <c r="J138" s="57">
        <f>Table510[[#This Row],[العدد]]*Table510[[#This Row],[الفئة]]</f>
        <v>15</v>
      </c>
      <c r="K13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138" s="57">
        <v>400</v>
      </c>
      <c r="M138" s="57">
        <f>Table510[[#This Row],[اجمالي المبلغ]]-Table510[[#This Row],[المبلغ المدفوع]]</f>
        <v>200</v>
      </c>
      <c r="N138" s="60"/>
    </row>
    <row r="139" spans="1:14" hidden="1" x14ac:dyDescent="0.3">
      <c r="A139" s="52">
        <f t="shared" si="2"/>
        <v>136</v>
      </c>
      <c r="B139" s="63"/>
      <c r="C139" s="56"/>
      <c r="D139" s="55"/>
      <c r="E139" s="57"/>
      <c r="F139" s="59">
        <v>5</v>
      </c>
      <c r="G139" s="57"/>
      <c r="H139" s="57"/>
      <c r="I139" s="57"/>
      <c r="J139" s="57">
        <f>Table510[[#This Row],[العدد]]*Table510[[#This Row],[الفئة]]</f>
        <v>0</v>
      </c>
      <c r="K13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39" s="57"/>
      <c r="M139" s="57">
        <f>Table510[[#This Row],[اجمالي المبلغ]]-Table510[[#This Row],[المبلغ المدفوع]]</f>
        <v>0</v>
      </c>
      <c r="N139" s="60"/>
    </row>
    <row r="140" spans="1:14" hidden="1" x14ac:dyDescent="0.3">
      <c r="A140" s="52">
        <f t="shared" si="2"/>
        <v>137</v>
      </c>
      <c r="B140" s="63" t="s">
        <v>146</v>
      </c>
      <c r="C140" s="56">
        <v>45314</v>
      </c>
      <c r="D140" s="55"/>
      <c r="E140" s="57">
        <v>50</v>
      </c>
      <c r="F140" s="59">
        <v>5</v>
      </c>
      <c r="G140" s="57">
        <v>40</v>
      </c>
      <c r="H140" s="57"/>
      <c r="I140" s="57"/>
      <c r="J140" s="57">
        <f>Table510[[#This Row],[العدد]]*Table510[[#This Row],[الفئة]]</f>
        <v>250</v>
      </c>
      <c r="K14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</v>
      </c>
      <c r="L140" s="57">
        <f>Table510[[#This Row],[اجمالي المبلغ]]</f>
        <v>10000</v>
      </c>
      <c r="M140" s="57">
        <f>Table510[[#This Row],[اجمالي المبلغ]]-Table510[[#This Row],[المبلغ المدفوع]]</f>
        <v>0</v>
      </c>
      <c r="N140" s="60" t="s">
        <v>78</v>
      </c>
    </row>
    <row r="141" spans="1:14" hidden="1" x14ac:dyDescent="0.3">
      <c r="A141" s="52">
        <f t="shared" si="2"/>
        <v>138</v>
      </c>
      <c r="B141" s="63" t="s">
        <v>146</v>
      </c>
      <c r="C141" s="56">
        <v>45314</v>
      </c>
      <c r="D141" s="55"/>
      <c r="E141" s="57">
        <v>50</v>
      </c>
      <c r="F141" s="59">
        <v>5</v>
      </c>
      <c r="G141" s="57">
        <v>40</v>
      </c>
      <c r="H141" s="57"/>
      <c r="I141" s="57"/>
      <c r="J141" s="57">
        <f>Table510[[#This Row],[العدد]]*Table510[[#This Row],[الفئة]]</f>
        <v>250</v>
      </c>
      <c r="K14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</v>
      </c>
      <c r="L141" s="57">
        <f>Table510[[#This Row],[اجمالي المبلغ]]</f>
        <v>10000</v>
      </c>
      <c r="M141" s="57">
        <f>Table510[[#This Row],[اجمالي المبلغ]]-Table510[[#This Row],[المبلغ المدفوع]]</f>
        <v>0</v>
      </c>
      <c r="N141" s="60" t="s">
        <v>78</v>
      </c>
    </row>
    <row r="142" spans="1:14" hidden="1" x14ac:dyDescent="0.3">
      <c r="A142" s="52">
        <f t="shared" si="2"/>
        <v>139</v>
      </c>
      <c r="B142" s="63" t="s">
        <v>146</v>
      </c>
      <c r="C142" s="56">
        <v>45314</v>
      </c>
      <c r="D142" s="55"/>
      <c r="E142" s="57">
        <v>20</v>
      </c>
      <c r="F142" s="59">
        <v>5</v>
      </c>
      <c r="G142" s="57">
        <v>45</v>
      </c>
      <c r="H142" s="57"/>
      <c r="I142" s="57"/>
      <c r="J142" s="57">
        <f>Table510[[#This Row],[العدد]]*Table510[[#This Row],[الفئة]]</f>
        <v>100</v>
      </c>
      <c r="K14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4500</v>
      </c>
      <c r="L142" s="57">
        <f>Table510[[#This Row],[اجمالي المبلغ]]</f>
        <v>4500</v>
      </c>
      <c r="M142" s="57">
        <f>Table510[[#This Row],[اجمالي المبلغ]]-Table510[[#This Row],[المبلغ المدفوع]]</f>
        <v>0</v>
      </c>
      <c r="N142" s="60" t="s">
        <v>78</v>
      </c>
    </row>
    <row r="143" spans="1:14" hidden="1" x14ac:dyDescent="0.3">
      <c r="A143" s="52">
        <f t="shared" si="2"/>
        <v>140</v>
      </c>
      <c r="B143" s="63" t="s">
        <v>146</v>
      </c>
      <c r="C143" s="56">
        <v>45314</v>
      </c>
      <c r="D143" s="55"/>
      <c r="E143" s="57">
        <v>5</v>
      </c>
      <c r="F143" s="59">
        <v>5</v>
      </c>
      <c r="G143" s="57">
        <v>40</v>
      </c>
      <c r="H143" s="57"/>
      <c r="I143" s="57"/>
      <c r="J143" s="57">
        <f>Table510[[#This Row],[العدد]]*Table510[[#This Row],[الفئة]]</f>
        <v>25</v>
      </c>
      <c r="K14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143" s="57">
        <f>Table510[[#This Row],[اجمالي المبلغ]]</f>
        <v>1000</v>
      </c>
      <c r="M143" s="57">
        <f>Table510[[#This Row],[اجمالي المبلغ]]-Table510[[#This Row],[المبلغ المدفوع]]</f>
        <v>0</v>
      </c>
      <c r="N143" s="60" t="s">
        <v>78</v>
      </c>
    </row>
    <row r="144" spans="1:14" hidden="1" x14ac:dyDescent="0.3">
      <c r="A144" s="52">
        <f t="shared" si="2"/>
        <v>141</v>
      </c>
      <c r="B144" s="63"/>
      <c r="C144" s="56"/>
      <c r="D144" s="55"/>
      <c r="E144" s="57"/>
      <c r="F144" s="59">
        <v>5</v>
      </c>
      <c r="G144" s="57"/>
      <c r="H144" s="57"/>
      <c r="I144" s="57"/>
      <c r="J144" s="57">
        <f>Table510[[#This Row],[العدد]]*Table510[[#This Row],[الفئة]]</f>
        <v>0</v>
      </c>
      <c r="K14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44" s="57"/>
      <c r="M144" s="57">
        <f>Table510[[#This Row],[اجمالي المبلغ]]-Table510[[#This Row],[المبلغ المدفوع]]</f>
        <v>0</v>
      </c>
      <c r="N144" s="60"/>
    </row>
    <row r="145" spans="1:14" hidden="1" x14ac:dyDescent="0.3">
      <c r="A145" s="52">
        <f t="shared" si="2"/>
        <v>142</v>
      </c>
      <c r="B145" s="63" t="s">
        <v>41</v>
      </c>
      <c r="C145" s="56">
        <v>45315</v>
      </c>
      <c r="D145" s="55"/>
      <c r="E145" s="58">
        <v>500</v>
      </c>
      <c r="F145" s="59">
        <v>5</v>
      </c>
      <c r="G145" s="57">
        <v>40</v>
      </c>
      <c r="H145" s="57"/>
      <c r="I145" s="57"/>
      <c r="J145" s="57">
        <f>Table510[[#This Row],[العدد]]*Table510[[#This Row],[الفئة]]</f>
        <v>2500</v>
      </c>
      <c r="K14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100000</v>
      </c>
      <c r="L145" s="57"/>
      <c r="M145" s="57">
        <f>Table510[[#This Row],[اجمالي المبلغ]]-Table510[[#This Row],[المبلغ المدفوع]]</f>
        <v>100000</v>
      </c>
      <c r="N145" s="60"/>
    </row>
    <row r="146" spans="1:14" hidden="1" x14ac:dyDescent="0.3">
      <c r="A146" s="52">
        <f t="shared" si="2"/>
        <v>143</v>
      </c>
      <c r="B146" s="63"/>
      <c r="C146" s="56"/>
      <c r="D146" s="55"/>
      <c r="E146" s="57"/>
      <c r="F146" s="59">
        <v>5</v>
      </c>
      <c r="G146" s="57"/>
      <c r="H146" s="57"/>
      <c r="I146" s="57"/>
      <c r="J146" s="57">
        <f>Table510[[#This Row],[العدد]]*Table510[[#This Row],[الفئة]]</f>
        <v>0</v>
      </c>
      <c r="K14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46" s="57"/>
      <c r="M146" s="57">
        <f>Table510[[#This Row],[اجمالي المبلغ]]-Table510[[#This Row],[المبلغ المدفوع]]</f>
        <v>0</v>
      </c>
      <c r="N146" s="60"/>
    </row>
    <row r="147" spans="1:14" hidden="1" x14ac:dyDescent="0.3">
      <c r="A147" s="52">
        <f t="shared" si="2"/>
        <v>144</v>
      </c>
      <c r="B147" s="63" t="s">
        <v>27</v>
      </c>
      <c r="C147" s="56">
        <v>45315</v>
      </c>
      <c r="D147" s="55"/>
      <c r="E147" s="57">
        <v>600</v>
      </c>
      <c r="F147" s="59">
        <v>5</v>
      </c>
      <c r="G147" s="57">
        <v>44</v>
      </c>
      <c r="H147" s="57"/>
      <c r="I147" s="57"/>
      <c r="J147" s="57">
        <f>Table510[[#This Row],[العدد]]*Table510[[#This Row],[الفئة]]</f>
        <v>3000</v>
      </c>
      <c r="K14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132000</v>
      </c>
      <c r="L147" s="57"/>
      <c r="M147" s="57">
        <f>Table510[[#This Row],[اجمالي المبلغ]]-Table510[[#This Row],[المبلغ المدفوع]]</f>
        <v>132000</v>
      </c>
      <c r="N147" s="60" t="s">
        <v>79</v>
      </c>
    </row>
    <row r="148" spans="1:14" hidden="1" x14ac:dyDescent="0.3">
      <c r="A148" s="52">
        <f t="shared" si="2"/>
        <v>145</v>
      </c>
      <c r="B148" s="63"/>
      <c r="C148" s="56"/>
      <c r="D148" s="55"/>
      <c r="E148" s="57"/>
      <c r="F148" s="59">
        <v>5</v>
      </c>
      <c r="G148" s="57"/>
      <c r="H148" s="57"/>
      <c r="I148" s="57"/>
      <c r="J148" s="57">
        <f>Table510[[#This Row],[العدد]]*Table510[[#This Row],[الفئة]]</f>
        <v>0</v>
      </c>
      <c r="K14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48" s="57"/>
      <c r="M148" s="57">
        <f>Table510[[#This Row],[اجمالي المبلغ]]-Table510[[#This Row],[المبلغ المدفوع]]</f>
        <v>0</v>
      </c>
      <c r="N148" s="60"/>
    </row>
    <row r="149" spans="1:14" hidden="1" x14ac:dyDescent="0.3">
      <c r="A149" s="52">
        <f t="shared" si="2"/>
        <v>146</v>
      </c>
      <c r="B149" s="63" t="s">
        <v>80</v>
      </c>
      <c r="C149" s="56">
        <v>45316</v>
      </c>
      <c r="D149" s="55"/>
      <c r="E149" s="57">
        <v>3</v>
      </c>
      <c r="F149" s="59">
        <v>5</v>
      </c>
      <c r="G149" s="57">
        <v>38</v>
      </c>
      <c r="H149" s="57"/>
      <c r="I149" s="57"/>
      <c r="J149" s="57">
        <f>Table510[[#This Row],[العدد]]*Table510[[#This Row],[الفئة]]</f>
        <v>15</v>
      </c>
      <c r="K14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</v>
      </c>
      <c r="L149" s="57"/>
      <c r="M149" s="57">
        <f>Table510[[#This Row],[اجمالي المبلغ]]-Table510[[#This Row],[المبلغ المدفوع]]</f>
        <v>570</v>
      </c>
      <c r="N149" s="60"/>
    </row>
    <row r="150" spans="1:14" hidden="1" x14ac:dyDescent="0.3">
      <c r="A150" s="52">
        <f t="shared" si="2"/>
        <v>147</v>
      </c>
      <c r="B150" s="63" t="s">
        <v>80</v>
      </c>
      <c r="C150" s="56">
        <v>45316</v>
      </c>
      <c r="D150" s="55"/>
      <c r="E150" s="57">
        <v>7</v>
      </c>
      <c r="F150" s="59">
        <v>5</v>
      </c>
      <c r="G150" s="57">
        <v>40</v>
      </c>
      <c r="H150" s="57"/>
      <c r="I150" s="57"/>
      <c r="J150" s="57">
        <f>Table510[[#This Row],[العدد]]*Table510[[#This Row],[الفئة]]</f>
        <v>35</v>
      </c>
      <c r="K15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1400</v>
      </c>
      <c r="L150" s="57"/>
      <c r="M150" s="57">
        <f>Table510[[#This Row],[اجمالي المبلغ]]-Table510[[#This Row],[المبلغ المدفوع]]</f>
        <v>1400</v>
      </c>
      <c r="N150" s="60"/>
    </row>
    <row r="151" spans="1:14" hidden="1" x14ac:dyDescent="0.3">
      <c r="A151" s="52">
        <f t="shared" si="2"/>
        <v>148</v>
      </c>
      <c r="B151" s="63" t="s">
        <v>80</v>
      </c>
      <c r="C151" s="56">
        <v>45316</v>
      </c>
      <c r="D151" s="55"/>
      <c r="E151" s="62">
        <v>4</v>
      </c>
      <c r="F151" s="59">
        <v>5</v>
      </c>
      <c r="G151" s="62">
        <f>1550/45</f>
        <v>34.444444444444443</v>
      </c>
      <c r="H151" s="62"/>
      <c r="I151" s="62"/>
      <c r="J151" s="57">
        <f>Table510[[#This Row],[العدد]]*Table510[[#This Row],[الفئة]]</f>
        <v>20</v>
      </c>
      <c r="K15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688.88888888888891</v>
      </c>
      <c r="L151" s="57"/>
      <c r="M151" s="57">
        <f>Table510[[#This Row],[اجمالي المبلغ]]-Table510[[#This Row],[المبلغ المدفوع]]</f>
        <v>688.88888888888891</v>
      </c>
      <c r="N151" s="60"/>
    </row>
    <row r="152" spans="1:14" hidden="1" x14ac:dyDescent="0.3">
      <c r="A152" s="52">
        <f t="shared" si="2"/>
        <v>149</v>
      </c>
      <c r="B152" s="63"/>
      <c r="C152" s="56"/>
      <c r="D152" s="55"/>
      <c r="E152" s="57"/>
      <c r="F152" s="59">
        <v>5</v>
      </c>
      <c r="G152" s="57"/>
      <c r="H152" s="57"/>
      <c r="I152" s="57"/>
      <c r="J152" s="57">
        <f>Table510[[#This Row],[العدد]]*Table510[[#This Row],[الفئة]]</f>
        <v>0</v>
      </c>
      <c r="K15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52" s="57"/>
      <c r="M152" s="57">
        <f>Table510[[#This Row],[اجمالي المبلغ]]-Table510[[#This Row],[المبلغ المدفوع]]</f>
        <v>0</v>
      </c>
      <c r="N152" s="60"/>
    </row>
    <row r="153" spans="1:14" hidden="1" x14ac:dyDescent="0.3">
      <c r="A153" s="52">
        <f t="shared" si="2"/>
        <v>150</v>
      </c>
      <c r="B153" s="63" t="s">
        <v>81</v>
      </c>
      <c r="C153" s="56">
        <v>45317</v>
      </c>
      <c r="D153" s="55"/>
      <c r="E153" s="57">
        <v>50</v>
      </c>
      <c r="F153" s="59">
        <v>5</v>
      </c>
      <c r="G153" s="57">
        <v>38</v>
      </c>
      <c r="H153" s="57"/>
      <c r="I153" s="57"/>
      <c r="J153" s="57">
        <f>Table510[[#This Row],[العدد]]*Table510[[#This Row],[الفئة]]</f>
        <v>250</v>
      </c>
      <c r="K15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153" s="57">
        <f>Table510[[#This Row],[اجمالي المبلغ]]</f>
        <v>9500</v>
      </c>
      <c r="M153" s="57">
        <f>Table510[[#This Row],[اجمالي المبلغ]]-Table510[[#This Row],[المبلغ المدفوع]]</f>
        <v>0</v>
      </c>
      <c r="N153" s="60"/>
    </row>
    <row r="154" spans="1:14" hidden="1" x14ac:dyDescent="0.3">
      <c r="A154" s="52">
        <f t="shared" si="2"/>
        <v>151</v>
      </c>
      <c r="B154" s="63" t="s">
        <v>81</v>
      </c>
      <c r="C154" s="56">
        <v>45317</v>
      </c>
      <c r="D154" s="55"/>
      <c r="E154" s="57">
        <v>50</v>
      </c>
      <c r="F154" s="59">
        <v>5</v>
      </c>
      <c r="G154" s="57">
        <v>37</v>
      </c>
      <c r="H154" s="57"/>
      <c r="I154" s="57"/>
      <c r="J154" s="57">
        <f>Table510[[#This Row],[العدد]]*Table510[[#This Row],[الفئة]]</f>
        <v>250</v>
      </c>
      <c r="K15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9250</v>
      </c>
      <c r="L154" s="57">
        <f>Table510[[#This Row],[اجمالي المبلغ]]</f>
        <v>9250</v>
      </c>
      <c r="M154" s="57">
        <f>Table510[[#This Row],[اجمالي المبلغ]]-Table510[[#This Row],[المبلغ المدفوع]]</f>
        <v>0</v>
      </c>
      <c r="N154" s="60"/>
    </row>
    <row r="155" spans="1:14" hidden="1" x14ac:dyDescent="0.3">
      <c r="A155" s="52">
        <f t="shared" si="2"/>
        <v>152</v>
      </c>
      <c r="B155" s="63" t="s">
        <v>81</v>
      </c>
      <c r="C155" s="56">
        <v>45317</v>
      </c>
      <c r="D155" s="55"/>
      <c r="E155" s="57">
        <v>50</v>
      </c>
      <c r="F155" s="59">
        <v>5</v>
      </c>
      <c r="G155" s="57">
        <v>36</v>
      </c>
      <c r="H155" s="57"/>
      <c r="I155" s="57"/>
      <c r="J155" s="57">
        <f>Table510[[#This Row],[العدد]]*Table510[[#This Row],[الفئة]]</f>
        <v>250</v>
      </c>
      <c r="K15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9000</v>
      </c>
      <c r="L155" s="57">
        <f>Table510[[#This Row],[اجمالي المبلغ]]</f>
        <v>9000</v>
      </c>
      <c r="M155" s="57">
        <f>Table510[[#This Row],[اجمالي المبلغ]]-Table510[[#This Row],[المبلغ المدفوع]]</f>
        <v>0</v>
      </c>
      <c r="N155" s="60"/>
    </row>
    <row r="156" spans="1:14" hidden="1" x14ac:dyDescent="0.3">
      <c r="A156" s="52">
        <f t="shared" si="2"/>
        <v>153</v>
      </c>
      <c r="B156" s="63"/>
      <c r="C156" s="56"/>
      <c r="D156" s="55"/>
      <c r="E156" s="57"/>
      <c r="F156" s="59">
        <v>5</v>
      </c>
      <c r="G156" s="57"/>
      <c r="H156" s="57"/>
      <c r="I156" s="57"/>
      <c r="J156" s="57">
        <f>Table510[[#This Row],[العدد]]*Table510[[#This Row],[الفئة]]</f>
        <v>0</v>
      </c>
      <c r="K15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56" s="57"/>
      <c r="M156" s="57">
        <f>Table510[[#This Row],[اجمالي المبلغ]]-Table510[[#This Row],[المبلغ المدفوع]]</f>
        <v>0</v>
      </c>
      <c r="N156" s="60"/>
    </row>
    <row r="157" spans="1:14" hidden="1" x14ac:dyDescent="0.3">
      <c r="A157" s="52">
        <f t="shared" si="2"/>
        <v>154</v>
      </c>
      <c r="B157" s="63" t="s">
        <v>19</v>
      </c>
      <c r="C157" s="56">
        <v>45319</v>
      </c>
      <c r="D157" s="55"/>
      <c r="E157" s="57">
        <v>300</v>
      </c>
      <c r="F157" s="59">
        <v>5</v>
      </c>
      <c r="G157" s="57">
        <v>38</v>
      </c>
      <c r="H157" s="57"/>
      <c r="I157" s="57"/>
      <c r="J157" s="57">
        <f>Table510[[#This Row],[العدد]]*Table510[[#This Row],[الفئة]]</f>
        <v>1500</v>
      </c>
      <c r="K15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57000</v>
      </c>
      <c r="L157" s="57">
        <f>Table510[[#This Row],[اجمالي المبلغ]]</f>
        <v>57000</v>
      </c>
      <c r="M157" s="57">
        <f>Table510[[#This Row],[اجمالي المبلغ]]-Table510[[#This Row],[المبلغ المدفوع]]</f>
        <v>0</v>
      </c>
      <c r="N157" s="60"/>
    </row>
    <row r="158" spans="1:14" hidden="1" x14ac:dyDescent="0.3">
      <c r="A158" s="52">
        <f t="shared" si="2"/>
        <v>155</v>
      </c>
      <c r="B158" s="63" t="s">
        <v>19</v>
      </c>
      <c r="C158" s="56">
        <v>45319</v>
      </c>
      <c r="D158" s="55"/>
      <c r="E158" s="57">
        <v>100</v>
      </c>
      <c r="F158" s="59">
        <v>5</v>
      </c>
      <c r="G158" s="57">
        <v>38</v>
      </c>
      <c r="H158" s="57"/>
      <c r="I158" s="57"/>
      <c r="J158" s="57">
        <f>Table510[[#This Row],[العدد]]*Table510[[#This Row],[الفئة]]</f>
        <v>500</v>
      </c>
      <c r="K15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158" s="57">
        <f>Table510[[#This Row],[اجمالي المبلغ]]</f>
        <v>19000</v>
      </c>
      <c r="M158" s="57">
        <f>Table510[[#This Row],[اجمالي المبلغ]]-Table510[[#This Row],[المبلغ المدفوع]]</f>
        <v>0</v>
      </c>
      <c r="N158" s="60"/>
    </row>
    <row r="159" spans="1:14" hidden="1" x14ac:dyDescent="0.3">
      <c r="A159" s="52">
        <f t="shared" si="2"/>
        <v>156</v>
      </c>
      <c r="B159" s="63"/>
      <c r="C159" s="56"/>
      <c r="D159" s="55"/>
      <c r="E159" s="57"/>
      <c r="F159" s="59">
        <v>5</v>
      </c>
      <c r="G159" s="57"/>
      <c r="H159" s="57"/>
      <c r="I159" s="57"/>
      <c r="J159" s="57">
        <f>Table510[[#This Row],[العدد]]*Table510[[#This Row],[الفئة]]</f>
        <v>0</v>
      </c>
      <c r="K15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59" s="57"/>
      <c r="M159" s="57">
        <f>Table510[[#This Row],[اجمالي المبلغ]]-Table510[[#This Row],[المبلغ المدفوع]]</f>
        <v>0</v>
      </c>
      <c r="N159" s="60"/>
    </row>
    <row r="160" spans="1:14" hidden="1" x14ac:dyDescent="0.3">
      <c r="A160" s="52">
        <f t="shared" si="2"/>
        <v>157</v>
      </c>
      <c r="B160" s="63" t="s">
        <v>66</v>
      </c>
      <c r="C160" s="56">
        <v>45320</v>
      </c>
      <c r="D160" s="55"/>
      <c r="E160" s="69"/>
      <c r="F160" s="59">
        <v>5</v>
      </c>
      <c r="G160" s="69"/>
      <c r="H160" s="69"/>
      <c r="I160" s="69"/>
      <c r="J160" s="69">
        <f>Table510[[#This Row],[العدد]]*Table510[[#This Row],[الفئة]]</f>
        <v>0</v>
      </c>
      <c r="K160" s="69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0" s="69"/>
      <c r="M160" s="69">
        <f>Table510[[#This Row],[اجمالي المبلغ]]-Table510[[#This Row],[المبلغ المدفوع]]</f>
        <v>0</v>
      </c>
      <c r="N160" s="60" t="s">
        <v>68</v>
      </c>
    </row>
    <row r="161" spans="1:14" hidden="1" x14ac:dyDescent="0.3">
      <c r="A161" s="52">
        <f t="shared" si="2"/>
        <v>158</v>
      </c>
      <c r="B161" s="63"/>
      <c r="C161" s="56"/>
      <c r="D161" s="55"/>
      <c r="E161" s="57"/>
      <c r="F161" s="59">
        <v>5</v>
      </c>
      <c r="G161" s="57"/>
      <c r="H161" s="57"/>
      <c r="I161" s="57"/>
      <c r="J161" s="57">
        <f>Table510[[#This Row],[العدد]]*Table510[[#This Row],[الفئة]]</f>
        <v>0</v>
      </c>
      <c r="K16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1" s="57"/>
      <c r="M161" s="57">
        <f>Table510[[#This Row],[اجمالي المبلغ]]-Table510[[#This Row],[المبلغ المدفوع]]</f>
        <v>0</v>
      </c>
      <c r="N161" s="60"/>
    </row>
    <row r="162" spans="1:14" hidden="1" x14ac:dyDescent="0.3">
      <c r="A162" s="52">
        <f t="shared" si="2"/>
        <v>159</v>
      </c>
      <c r="B162" s="63" t="s">
        <v>82</v>
      </c>
      <c r="C162" s="56">
        <v>45319</v>
      </c>
      <c r="D162" s="55"/>
      <c r="E162" s="57">
        <v>20</v>
      </c>
      <c r="F162" s="59">
        <v>5</v>
      </c>
      <c r="G162" s="57">
        <v>40</v>
      </c>
      <c r="H162" s="57"/>
      <c r="I162" s="57"/>
      <c r="J162" s="57">
        <f>Table510[[#This Row],[العدد]]*Table510[[#This Row],[الفئة]]</f>
        <v>100</v>
      </c>
      <c r="K16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162" s="57"/>
      <c r="M162" s="57">
        <f>Table510[[#This Row],[اجمالي المبلغ]]-Table510[[#This Row],[المبلغ المدفوع]]</f>
        <v>4000</v>
      </c>
      <c r="N162" s="60"/>
    </row>
    <row r="163" spans="1:14" hidden="1" x14ac:dyDescent="0.3">
      <c r="A163" s="52">
        <f t="shared" si="2"/>
        <v>160</v>
      </c>
      <c r="B163" s="63" t="s">
        <v>82</v>
      </c>
      <c r="C163" s="56">
        <v>45319</v>
      </c>
      <c r="D163" s="55"/>
      <c r="E163" s="57">
        <v>20</v>
      </c>
      <c r="F163" s="59">
        <v>5</v>
      </c>
      <c r="G163" s="57">
        <v>38</v>
      </c>
      <c r="H163" s="57"/>
      <c r="I163" s="57"/>
      <c r="J163" s="57">
        <f>Table510[[#This Row],[العدد]]*Table510[[#This Row],[الفئة]]</f>
        <v>100</v>
      </c>
      <c r="K16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163" s="57"/>
      <c r="M163" s="57">
        <f>Table510[[#This Row],[اجمالي المبلغ]]-Table510[[#This Row],[المبلغ المدفوع]]</f>
        <v>3800</v>
      </c>
      <c r="N163" s="60"/>
    </row>
    <row r="164" spans="1:14" hidden="1" x14ac:dyDescent="0.3">
      <c r="A164" s="52">
        <f t="shared" si="2"/>
        <v>161</v>
      </c>
      <c r="B164" s="63"/>
      <c r="C164" s="56"/>
      <c r="D164" s="55"/>
      <c r="E164" s="57"/>
      <c r="F164" s="59">
        <v>5</v>
      </c>
      <c r="G164" s="57"/>
      <c r="H164" s="57"/>
      <c r="I164" s="57"/>
      <c r="J164" s="57">
        <f>Table510[[#This Row],[العدد]]*Table510[[#This Row],[الفئة]]</f>
        <v>0</v>
      </c>
      <c r="K16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4" s="57"/>
      <c r="M164" s="57">
        <f>Table510[[#This Row],[اجمالي المبلغ]]-Table510[[#This Row],[المبلغ المدفوع]]</f>
        <v>0</v>
      </c>
      <c r="N164" s="60"/>
    </row>
    <row r="165" spans="1:14" hidden="1" x14ac:dyDescent="0.3">
      <c r="A165" s="52">
        <f t="shared" si="2"/>
        <v>162</v>
      </c>
      <c r="B165" s="63" t="s">
        <v>83</v>
      </c>
      <c r="C165" s="56">
        <v>45320</v>
      </c>
      <c r="D165" s="55"/>
      <c r="E165" s="57">
        <v>7280</v>
      </c>
      <c r="F165" s="59">
        <v>5</v>
      </c>
      <c r="G165" s="62"/>
      <c r="H165" s="62"/>
      <c r="I165" s="62"/>
      <c r="J165" s="57">
        <f>Table510[[#This Row],[العدد]]*Table510[[#This Row],[الفئة]]</f>
        <v>36400</v>
      </c>
      <c r="K16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5" s="57"/>
      <c r="M165" s="57">
        <f>Table510[[#This Row],[اجمالي المبلغ]]-Table510[[#This Row],[المبلغ المدفوع]]</f>
        <v>0</v>
      </c>
      <c r="N165" s="60" t="s">
        <v>84</v>
      </c>
    </row>
    <row r="166" spans="1:14" hidden="1" x14ac:dyDescent="0.3">
      <c r="A166" s="52">
        <f t="shared" si="2"/>
        <v>163</v>
      </c>
      <c r="B166" s="63"/>
      <c r="C166" s="56"/>
      <c r="D166" s="55"/>
      <c r="E166" s="57"/>
      <c r="F166" s="59">
        <v>5</v>
      </c>
      <c r="G166" s="57"/>
      <c r="H166" s="57"/>
      <c r="I166" s="57"/>
      <c r="J166" s="57">
        <f>Table510[[#This Row],[العدد]]*Table510[[#This Row],[الفئة]]</f>
        <v>0</v>
      </c>
      <c r="K16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6" s="57"/>
      <c r="M166" s="57">
        <f>Table510[[#This Row],[اجمالي المبلغ]]-Table510[[#This Row],[المبلغ المدفوع]]</f>
        <v>0</v>
      </c>
      <c r="N166" s="60"/>
    </row>
    <row r="167" spans="1:14" hidden="1" x14ac:dyDescent="0.3">
      <c r="A167" s="52">
        <f t="shared" si="2"/>
        <v>164</v>
      </c>
      <c r="B167" s="63" t="s">
        <v>85</v>
      </c>
      <c r="C167" s="56">
        <v>45322</v>
      </c>
      <c r="D167" s="55"/>
      <c r="E167" s="57">
        <v>300</v>
      </c>
      <c r="F167" s="59">
        <v>5</v>
      </c>
      <c r="G167" s="57">
        <v>39</v>
      </c>
      <c r="H167" s="57">
        <v>500</v>
      </c>
      <c r="I167" s="57"/>
      <c r="J167" s="57">
        <f>Table510[[#This Row],[العدد]]*Table510[[#This Row],[الفئة]]</f>
        <v>1500</v>
      </c>
      <c r="K16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58000</v>
      </c>
      <c r="L167" s="57">
        <v>50000</v>
      </c>
      <c r="M167" s="57">
        <f>Table510[[#This Row],[اجمالي المبلغ]]-Table510[[#This Row],[المبلغ المدفوع]]</f>
        <v>8000</v>
      </c>
      <c r="N167" s="60" t="s">
        <v>86</v>
      </c>
    </row>
    <row r="168" spans="1:14" hidden="1" x14ac:dyDescent="0.3">
      <c r="A168" s="52">
        <f t="shared" si="2"/>
        <v>165</v>
      </c>
      <c r="B168" s="63"/>
      <c r="C168" s="56"/>
      <c r="D168" s="55"/>
      <c r="E168" s="57"/>
      <c r="F168" s="59">
        <v>5</v>
      </c>
      <c r="G168" s="57"/>
      <c r="H168" s="57"/>
      <c r="I168" s="57"/>
      <c r="J168" s="57">
        <f>Table510[[#This Row],[العدد]]*Table510[[#This Row],[الفئة]]</f>
        <v>0</v>
      </c>
      <c r="K16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68" s="57"/>
      <c r="M168" s="57">
        <f>Table510[[#This Row],[اجمالي المبلغ]]-Table510[[#This Row],[المبلغ المدفوع]]</f>
        <v>0</v>
      </c>
      <c r="N168" s="60"/>
    </row>
    <row r="169" spans="1:14" hidden="1" x14ac:dyDescent="0.3">
      <c r="A169" s="52">
        <f t="shared" si="2"/>
        <v>166</v>
      </c>
      <c r="B169" s="63" t="s">
        <v>87</v>
      </c>
      <c r="C169" s="56">
        <v>45322</v>
      </c>
      <c r="D169" s="55"/>
      <c r="E169" s="57">
        <v>200</v>
      </c>
      <c r="F169" s="59">
        <v>5</v>
      </c>
      <c r="G169" s="57">
        <v>40</v>
      </c>
      <c r="H169" s="57"/>
      <c r="I169" s="57"/>
      <c r="J169" s="57">
        <f>Table510[[#This Row],[العدد]]*Table510[[#This Row],[الفئة]]</f>
        <v>1000</v>
      </c>
      <c r="K16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169" s="57">
        <f>Table510[[#This Row],[اجمالي المبلغ]]</f>
        <v>40000</v>
      </c>
      <c r="M169" s="57">
        <f>Table510[[#This Row],[اجمالي المبلغ]]-Table510[[#This Row],[المبلغ المدفوع]]</f>
        <v>0</v>
      </c>
      <c r="N169" s="60" t="s">
        <v>88</v>
      </c>
    </row>
    <row r="170" spans="1:14" hidden="1" x14ac:dyDescent="0.3">
      <c r="A170" s="52">
        <f t="shared" si="2"/>
        <v>167</v>
      </c>
      <c r="B170" s="63" t="s">
        <v>87</v>
      </c>
      <c r="C170" s="56">
        <v>45322</v>
      </c>
      <c r="D170" s="55"/>
      <c r="E170" s="57">
        <v>100</v>
      </c>
      <c r="F170" s="59">
        <v>5</v>
      </c>
      <c r="G170" s="57">
        <v>38</v>
      </c>
      <c r="H170" s="57"/>
      <c r="I170" s="57"/>
      <c r="J170" s="57">
        <f>Table510[[#This Row],[العدد]]*Table510[[#This Row],[الفئة]]</f>
        <v>500</v>
      </c>
      <c r="K17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170" s="57">
        <f>Table510[[#This Row],[اجمالي المبلغ]]</f>
        <v>19000</v>
      </c>
      <c r="M170" s="57">
        <f>Table510[[#This Row],[اجمالي المبلغ]]-Table510[[#This Row],[المبلغ المدفوع]]</f>
        <v>0</v>
      </c>
      <c r="N170" s="60"/>
    </row>
    <row r="171" spans="1:14" hidden="1" x14ac:dyDescent="0.3">
      <c r="A171" s="52">
        <f t="shared" si="2"/>
        <v>168</v>
      </c>
      <c r="B171" s="63" t="s">
        <v>87</v>
      </c>
      <c r="C171" s="56">
        <v>45322</v>
      </c>
      <c r="D171" s="55"/>
      <c r="E171" s="57">
        <v>480</v>
      </c>
      <c r="F171" s="59">
        <v>5</v>
      </c>
      <c r="G171" s="57">
        <v>38</v>
      </c>
      <c r="H171" s="57"/>
      <c r="I171" s="57"/>
      <c r="J171" s="57">
        <f>Table510[[#This Row],[العدد]]*Table510[[#This Row],[الفئة]]</f>
        <v>2400</v>
      </c>
      <c r="K17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91200</v>
      </c>
      <c r="L171" s="57">
        <f>Table510[[#This Row],[اجمالي المبلغ]]</f>
        <v>91200</v>
      </c>
      <c r="M171" s="57">
        <f>Table510[[#This Row],[اجمالي المبلغ]]-Table510[[#This Row],[المبلغ المدفوع]]</f>
        <v>0</v>
      </c>
      <c r="N171" s="60"/>
    </row>
    <row r="172" spans="1:14" hidden="1" x14ac:dyDescent="0.3">
      <c r="A172" s="52">
        <f t="shared" si="2"/>
        <v>169</v>
      </c>
      <c r="B172" s="63"/>
      <c r="C172" s="56"/>
      <c r="D172" s="55"/>
      <c r="E172" s="57"/>
      <c r="F172" s="59">
        <v>5</v>
      </c>
      <c r="G172" s="57"/>
      <c r="H172" s="57"/>
      <c r="I172" s="57"/>
      <c r="J172" s="57">
        <f>Table510[[#This Row],[العدد]]*Table510[[#This Row],[الفئة]]</f>
        <v>0</v>
      </c>
      <c r="K17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72" s="57"/>
      <c r="M172" s="57">
        <f>Table510[[#This Row],[اجمالي المبلغ]]-Table510[[#This Row],[المبلغ المدفوع]]</f>
        <v>0</v>
      </c>
      <c r="N172" s="60"/>
    </row>
    <row r="173" spans="1:14" hidden="1" x14ac:dyDescent="0.3">
      <c r="A173" s="52">
        <f t="shared" si="2"/>
        <v>170</v>
      </c>
      <c r="B173" s="63" t="s">
        <v>89</v>
      </c>
      <c r="C173" s="56">
        <v>45322</v>
      </c>
      <c r="D173" s="55"/>
      <c r="E173" s="57">
        <v>15</v>
      </c>
      <c r="F173" s="59">
        <v>5</v>
      </c>
      <c r="G173" s="57">
        <v>40</v>
      </c>
      <c r="H173" s="57"/>
      <c r="I173" s="57"/>
      <c r="J173" s="57">
        <f>Table510[[#This Row],[العدد]]*Table510[[#This Row],[الفئة]]</f>
        <v>75</v>
      </c>
      <c r="K17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</v>
      </c>
      <c r="L173" s="57"/>
      <c r="M173" s="57">
        <f>Table510[[#This Row],[اجمالي المبلغ]]-Table510[[#This Row],[المبلغ المدفوع]]</f>
        <v>3000</v>
      </c>
      <c r="N173" s="60"/>
    </row>
    <row r="174" spans="1:14" hidden="1" x14ac:dyDescent="0.3">
      <c r="A174" s="52">
        <f t="shared" si="2"/>
        <v>171</v>
      </c>
      <c r="B174" s="63" t="s">
        <v>89</v>
      </c>
      <c r="C174" s="56">
        <v>45322</v>
      </c>
      <c r="D174" s="55"/>
      <c r="E174" s="57">
        <v>10</v>
      </c>
      <c r="F174" s="59">
        <v>5</v>
      </c>
      <c r="G174" s="57">
        <v>39</v>
      </c>
      <c r="H174" s="57"/>
      <c r="I174" s="57"/>
      <c r="J174" s="57">
        <f>Table510[[#This Row],[العدد]]*Table510[[#This Row],[الفئة]]</f>
        <v>50</v>
      </c>
      <c r="K17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1950</v>
      </c>
      <c r="L174" s="57"/>
      <c r="M174" s="57">
        <f>Table510[[#This Row],[اجمالي المبلغ]]-Table510[[#This Row],[المبلغ المدفوع]]</f>
        <v>1950</v>
      </c>
      <c r="N174" s="60"/>
    </row>
    <row r="175" spans="1:14" hidden="1" x14ac:dyDescent="0.3">
      <c r="A175" s="52">
        <f t="shared" si="2"/>
        <v>172</v>
      </c>
      <c r="B175" s="63" t="s">
        <v>89</v>
      </c>
      <c r="C175" s="56">
        <v>45322</v>
      </c>
      <c r="D175" s="55"/>
      <c r="E175" s="57">
        <v>2000</v>
      </c>
      <c r="F175" s="59">
        <v>5</v>
      </c>
      <c r="G175" s="57">
        <v>38</v>
      </c>
      <c r="H175" s="57"/>
      <c r="I175" s="57"/>
      <c r="J175" s="57">
        <f>Table510[[#This Row],[العدد]]*Table510[[#This Row],[الفئة]]</f>
        <v>10000</v>
      </c>
      <c r="K17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380000</v>
      </c>
      <c r="L175" s="57">
        <v>85000</v>
      </c>
      <c r="M175" s="57">
        <f>Table510[[#This Row],[اجمالي المبلغ]]-Table510[[#This Row],[المبلغ المدفوع]]</f>
        <v>295000</v>
      </c>
      <c r="N175" s="60"/>
    </row>
    <row r="176" spans="1:14" hidden="1" x14ac:dyDescent="0.3">
      <c r="A176" s="52">
        <f t="shared" si="2"/>
        <v>173</v>
      </c>
      <c r="B176" s="63"/>
      <c r="C176" s="56"/>
      <c r="D176" s="55"/>
      <c r="E176" s="57"/>
      <c r="F176" s="59">
        <v>5</v>
      </c>
      <c r="G176" s="57"/>
      <c r="H176" s="57"/>
      <c r="I176" s="57"/>
      <c r="J176" s="57">
        <f>Table510[[#This Row],[العدد]]*Table510[[#This Row],[الفئة]]</f>
        <v>0</v>
      </c>
      <c r="K17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76" s="57"/>
      <c r="M176" s="57">
        <f>Table510[[#This Row],[اجمالي المبلغ]]-Table510[[#This Row],[المبلغ المدفوع]]</f>
        <v>0</v>
      </c>
      <c r="N176" s="60"/>
    </row>
    <row r="177" spans="1:14" hidden="1" x14ac:dyDescent="0.3">
      <c r="A177" s="52">
        <f t="shared" si="2"/>
        <v>174</v>
      </c>
      <c r="B177" s="63" t="s">
        <v>90</v>
      </c>
      <c r="C177" s="56">
        <v>45322</v>
      </c>
      <c r="D177" s="55"/>
      <c r="E177" s="57">
        <v>120</v>
      </c>
      <c r="F177" s="59">
        <v>5</v>
      </c>
      <c r="G177" s="57">
        <v>40</v>
      </c>
      <c r="H177" s="57"/>
      <c r="I177" s="57"/>
      <c r="J177" s="57">
        <f>Table510[[#This Row],[العدد]]*Table510[[#This Row],[الفئة]]</f>
        <v>600</v>
      </c>
      <c r="K17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24000</v>
      </c>
      <c r="L177" s="57">
        <f>Table510[[#This Row],[اجمالي المبلغ]]</f>
        <v>24000</v>
      </c>
      <c r="M177" s="57">
        <f>Table510[[#This Row],[اجمالي المبلغ]]-Table510[[#This Row],[المبلغ المدفوع]]</f>
        <v>0</v>
      </c>
      <c r="N177" s="60"/>
    </row>
    <row r="178" spans="1:14" hidden="1" x14ac:dyDescent="0.3">
      <c r="A178" s="52">
        <f t="shared" si="2"/>
        <v>175</v>
      </c>
      <c r="B178" s="63" t="s">
        <v>90</v>
      </c>
      <c r="C178" s="56">
        <v>45322</v>
      </c>
      <c r="D178" s="55"/>
      <c r="E178" s="57">
        <v>36</v>
      </c>
      <c r="F178" s="59">
        <v>5</v>
      </c>
      <c r="G178" s="57">
        <v>38</v>
      </c>
      <c r="H178" s="57"/>
      <c r="I178" s="57"/>
      <c r="J178" s="57">
        <f>Table510[[#This Row],[العدد]]*Table510[[#This Row],[الفئة]]</f>
        <v>180</v>
      </c>
      <c r="K17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6840</v>
      </c>
      <c r="L178" s="57">
        <f>Table510[[#This Row],[اجمالي المبلغ]]</f>
        <v>6840</v>
      </c>
      <c r="M178" s="57">
        <f>Table510[[#This Row],[اجمالي المبلغ]]-Table510[[#This Row],[المبلغ المدفوع]]</f>
        <v>0</v>
      </c>
      <c r="N178" s="60"/>
    </row>
    <row r="179" spans="1:14" hidden="1" x14ac:dyDescent="0.3">
      <c r="A179" s="52">
        <f t="shared" si="2"/>
        <v>176</v>
      </c>
      <c r="B179" s="63"/>
      <c r="C179" s="56"/>
      <c r="D179" s="55"/>
      <c r="E179" s="57"/>
      <c r="F179" s="59">
        <v>5</v>
      </c>
      <c r="G179" s="57"/>
      <c r="H179" s="57"/>
      <c r="I179" s="57"/>
      <c r="J179" s="57">
        <f>Table510[[#This Row],[العدد]]*Table510[[#This Row],[الفئة]]</f>
        <v>0</v>
      </c>
      <c r="K17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79" s="57"/>
      <c r="M179" s="57">
        <f>Table510[[#This Row],[اجمالي المبلغ]]-Table510[[#This Row],[المبلغ المدفوع]]</f>
        <v>0</v>
      </c>
      <c r="N179" s="60"/>
    </row>
    <row r="180" spans="1:14" hidden="1" x14ac:dyDescent="0.3">
      <c r="A180" s="52">
        <f t="shared" si="2"/>
        <v>177</v>
      </c>
      <c r="B180" s="63" t="s">
        <v>28</v>
      </c>
      <c r="C180" s="56">
        <v>45322</v>
      </c>
      <c r="D180" s="55"/>
      <c r="E180" s="57">
        <v>18</v>
      </c>
      <c r="F180" s="59">
        <v>5</v>
      </c>
      <c r="G180" s="57">
        <v>40</v>
      </c>
      <c r="H180" s="57"/>
      <c r="I180" s="57"/>
      <c r="J180" s="57">
        <f>Table510[[#This Row],[العدد]]*Table510[[#This Row],[الفئة]]</f>
        <v>90</v>
      </c>
      <c r="K18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3600</v>
      </c>
      <c r="L180" s="57">
        <v>2900</v>
      </c>
      <c r="M180" s="57">
        <f>Table510[[#This Row],[اجمالي المبلغ]]-Table510[[#This Row],[المبلغ المدفوع]]</f>
        <v>700</v>
      </c>
      <c r="N180" s="60"/>
    </row>
    <row r="181" spans="1:14" hidden="1" x14ac:dyDescent="0.3">
      <c r="A181" s="52">
        <f t="shared" si="2"/>
        <v>178</v>
      </c>
      <c r="B181" s="63"/>
      <c r="C181" s="56"/>
      <c r="D181" s="55"/>
      <c r="E181" s="57"/>
      <c r="F181" s="59">
        <v>5</v>
      </c>
      <c r="G181" s="57"/>
      <c r="H181" s="57"/>
      <c r="I181" s="57"/>
      <c r="J181" s="57">
        <f>Table510[[#This Row],[العدد]]*Table510[[#This Row],[الفئة]]</f>
        <v>0</v>
      </c>
      <c r="K18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81" s="57"/>
      <c r="M181" s="57">
        <f>Table510[[#This Row],[اجمالي المبلغ]]-Table510[[#This Row],[المبلغ المدفوع]]</f>
        <v>0</v>
      </c>
      <c r="N181" s="60"/>
    </row>
    <row r="182" spans="1:14" hidden="1" x14ac:dyDescent="0.3">
      <c r="A182" s="52">
        <f t="shared" si="2"/>
        <v>179</v>
      </c>
      <c r="B182" s="63" t="s">
        <v>91</v>
      </c>
      <c r="C182" s="56">
        <v>45323</v>
      </c>
      <c r="D182" s="55"/>
      <c r="E182" s="57">
        <v>20</v>
      </c>
      <c r="F182" s="59">
        <v>5</v>
      </c>
      <c r="G182" s="57">
        <v>40</v>
      </c>
      <c r="H182" s="57"/>
      <c r="I182" s="57"/>
      <c r="J182" s="57">
        <f>Table510[[#This Row],[العدد]]*Table510[[#This Row],[الفئة]]</f>
        <v>100</v>
      </c>
      <c r="K18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182" s="57">
        <f>Table510[[#This Row],[اجمالي المبلغ]]</f>
        <v>4000</v>
      </c>
      <c r="M182" s="57">
        <f>Table510[[#This Row],[اجمالي المبلغ]]-Table510[[#This Row],[المبلغ المدفوع]]</f>
        <v>0</v>
      </c>
      <c r="N182" s="60"/>
    </row>
    <row r="183" spans="1:14" hidden="1" x14ac:dyDescent="0.3">
      <c r="A183" s="52">
        <f t="shared" si="2"/>
        <v>180</v>
      </c>
      <c r="B183" s="63" t="s">
        <v>91</v>
      </c>
      <c r="C183" s="56">
        <v>45323</v>
      </c>
      <c r="D183" s="55"/>
      <c r="E183" s="57">
        <v>20</v>
      </c>
      <c r="F183" s="59">
        <v>5</v>
      </c>
      <c r="G183" s="57">
        <v>38</v>
      </c>
      <c r="H183" s="57"/>
      <c r="I183" s="57"/>
      <c r="J183" s="57">
        <f>Table510[[#This Row],[العدد]]*Table510[[#This Row],[الفئة]]</f>
        <v>100</v>
      </c>
      <c r="K18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183" s="57">
        <f>Table510[[#This Row],[اجمالي المبلغ]]</f>
        <v>3800</v>
      </c>
      <c r="M183" s="57">
        <f>Table510[[#This Row],[اجمالي المبلغ]]-Table510[[#This Row],[المبلغ المدفوع]]</f>
        <v>0</v>
      </c>
      <c r="N183" s="60"/>
    </row>
    <row r="184" spans="1:14" hidden="1" x14ac:dyDescent="0.3">
      <c r="A184" s="52">
        <f t="shared" si="2"/>
        <v>181</v>
      </c>
      <c r="B184" s="63" t="s">
        <v>91</v>
      </c>
      <c r="C184" s="56">
        <v>45323</v>
      </c>
      <c r="D184" s="55"/>
      <c r="E184" s="57">
        <v>60</v>
      </c>
      <c r="F184" s="59">
        <v>5</v>
      </c>
      <c r="G184" s="57">
        <v>38</v>
      </c>
      <c r="H184" s="57"/>
      <c r="I184" s="57"/>
      <c r="J184" s="57">
        <f>Table510[[#This Row],[العدد]]*Table510[[#This Row],[الفئة]]</f>
        <v>300</v>
      </c>
      <c r="K18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11400</v>
      </c>
      <c r="L184" s="57">
        <f>Table510[[#This Row],[اجمالي المبلغ]]</f>
        <v>11400</v>
      </c>
      <c r="M184" s="57">
        <f>Table510[[#This Row],[اجمالي المبلغ]]-Table510[[#This Row],[المبلغ المدفوع]]</f>
        <v>0</v>
      </c>
      <c r="N184" s="60"/>
    </row>
    <row r="185" spans="1:14" hidden="1" x14ac:dyDescent="0.3">
      <c r="A185" s="52">
        <f t="shared" si="2"/>
        <v>182</v>
      </c>
      <c r="B185" s="63" t="s">
        <v>91</v>
      </c>
      <c r="C185" s="56">
        <v>45323</v>
      </c>
      <c r="D185" s="55"/>
      <c r="E185" s="57">
        <v>20</v>
      </c>
      <c r="F185" s="59">
        <v>5</v>
      </c>
      <c r="G185" s="57">
        <v>44</v>
      </c>
      <c r="H185" s="57"/>
      <c r="I185" s="57"/>
      <c r="J185" s="57">
        <f>Table510[[#This Row],[العدد]]*Table510[[#This Row],[الفئة]]</f>
        <v>100</v>
      </c>
      <c r="K18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4400</v>
      </c>
      <c r="L185" s="57">
        <v>4200</v>
      </c>
      <c r="M185" s="62">
        <f>Table510[[#This Row],[اجمالي المبلغ]]-Table510[[#This Row],[المبلغ المدفوع]]</f>
        <v>200</v>
      </c>
      <c r="N185" s="60"/>
    </row>
    <row r="186" spans="1:14" hidden="1" x14ac:dyDescent="0.3">
      <c r="A186" s="52">
        <f t="shared" si="2"/>
        <v>183</v>
      </c>
      <c r="B186" s="63" t="s">
        <v>91</v>
      </c>
      <c r="C186" s="56">
        <v>45323</v>
      </c>
      <c r="D186" s="55"/>
      <c r="E186" s="57">
        <v>20</v>
      </c>
      <c r="F186" s="59">
        <v>5</v>
      </c>
      <c r="G186" s="57">
        <v>40</v>
      </c>
      <c r="H186" s="57"/>
      <c r="I186" s="57"/>
      <c r="J186" s="57">
        <f>Table510[[#This Row],[العدد]]*Table510[[#This Row],[الفئة]]</f>
        <v>100</v>
      </c>
      <c r="K18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186" s="57">
        <f>Table510[[#This Row],[اجمالي المبلغ]]</f>
        <v>4000</v>
      </c>
      <c r="M186" s="57">
        <f>Table510[[#This Row],[اجمالي المبلغ]]-Table510[[#This Row],[المبلغ المدفوع]]</f>
        <v>0</v>
      </c>
      <c r="N186" s="60"/>
    </row>
    <row r="187" spans="1:14" hidden="1" x14ac:dyDescent="0.3">
      <c r="A187" s="52">
        <f t="shared" si="2"/>
        <v>184</v>
      </c>
      <c r="B187" s="63" t="s">
        <v>91</v>
      </c>
      <c r="C187" s="56">
        <v>45323</v>
      </c>
      <c r="D187" s="55"/>
      <c r="E187" s="57">
        <v>36</v>
      </c>
      <c r="F187" s="59">
        <v>5</v>
      </c>
      <c r="G187" s="57">
        <v>40</v>
      </c>
      <c r="H187" s="57"/>
      <c r="I187" s="57"/>
      <c r="J187" s="57">
        <f>Table510[[#This Row],[العدد]]*Table510[[#This Row],[الفئة]]</f>
        <v>180</v>
      </c>
      <c r="K18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7200</v>
      </c>
      <c r="L187" s="57">
        <f>Table510[[#This Row],[اجمالي المبلغ]]</f>
        <v>7200</v>
      </c>
      <c r="M187" s="57">
        <f>Table510[[#This Row],[اجمالي المبلغ]]-Table510[[#This Row],[المبلغ المدفوع]]</f>
        <v>0</v>
      </c>
      <c r="N187" s="60"/>
    </row>
    <row r="188" spans="1:14" hidden="1" x14ac:dyDescent="0.3">
      <c r="A188" s="52">
        <f t="shared" si="2"/>
        <v>185</v>
      </c>
      <c r="B188" s="63"/>
      <c r="C188" s="56"/>
      <c r="D188" s="55"/>
      <c r="E188" s="57"/>
      <c r="F188" s="59">
        <v>5</v>
      </c>
      <c r="G188" s="57"/>
      <c r="H188" s="57"/>
      <c r="I188" s="57"/>
      <c r="J188" s="57">
        <f>Table510[[#This Row],[العدد]]*Table510[[#This Row],[الفئة]]</f>
        <v>0</v>
      </c>
      <c r="K18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88" s="57"/>
      <c r="M188" s="57">
        <f>Table510[[#This Row],[اجمالي المبلغ]]-Table510[[#This Row],[المبلغ المدفوع]]</f>
        <v>0</v>
      </c>
      <c r="N188" s="60"/>
    </row>
    <row r="189" spans="1:14" hidden="1" x14ac:dyDescent="0.3">
      <c r="A189" s="52">
        <f t="shared" si="2"/>
        <v>186</v>
      </c>
      <c r="B189" s="63" t="s">
        <v>120</v>
      </c>
      <c r="C189" s="56">
        <v>45325</v>
      </c>
      <c r="D189" s="55"/>
      <c r="E189" s="57">
        <v>1400</v>
      </c>
      <c r="F189" s="59">
        <v>5</v>
      </c>
      <c r="G189" s="57">
        <v>40</v>
      </c>
      <c r="H189" s="57"/>
      <c r="I189" s="57">
        <v>500</v>
      </c>
      <c r="J189" s="57">
        <f>Table510[[#This Row],[العدد]]*Table510[[#This Row],[الفئة]]</f>
        <v>7000</v>
      </c>
      <c r="K18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280500</v>
      </c>
      <c r="L189" s="57">
        <v>215000</v>
      </c>
      <c r="M189" s="62">
        <f>Table510[[#This Row],[اجمالي المبلغ]]-Table510[[#This Row],[المبلغ المدفوع]]</f>
        <v>65500</v>
      </c>
      <c r="N189" s="60" t="s">
        <v>93</v>
      </c>
    </row>
    <row r="190" spans="1:14" hidden="1" x14ac:dyDescent="0.3">
      <c r="A190" s="52">
        <f t="shared" si="2"/>
        <v>187</v>
      </c>
      <c r="B190" s="63" t="s">
        <v>120</v>
      </c>
      <c r="C190" s="56">
        <v>45325</v>
      </c>
      <c r="D190" s="55"/>
      <c r="E190" s="57">
        <v>300</v>
      </c>
      <c r="F190" s="59">
        <v>5</v>
      </c>
      <c r="G190" s="57">
        <v>38</v>
      </c>
      <c r="H190" s="57"/>
      <c r="I190" s="57"/>
      <c r="J190" s="57">
        <f>Table510[[#This Row],[العدد]]*Table510[[#This Row],[الفئة]]</f>
        <v>1500</v>
      </c>
      <c r="K19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57000</v>
      </c>
      <c r="L190" s="57"/>
      <c r="M190" s="62">
        <f>Table510[[#This Row],[اجمالي المبلغ]]-Table510[[#This Row],[المبلغ المدفوع]]</f>
        <v>57000</v>
      </c>
      <c r="N190" s="60"/>
    </row>
    <row r="191" spans="1:14" hidden="1" x14ac:dyDescent="0.3">
      <c r="A191" s="52">
        <f t="shared" si="2"/>
        <v>188</v>
      </c>
      <c r="B191" s="63"/>
      <c r="C191" s="56"/>
      <c r="D191" s="55"/>
      <c r="E191" s="57"/>
      <c r="F191" s="59">
        <v>5</v>
      </c>
      <c r="G191" s="57"/>
      <c r="H191" s="57"/>
      <c r="I191" s="57"/>
      <c r="J191" s="57">
        <f>Table510[[#This Row],[العدد]]*Table510[[#This Row],[الفئة]]</f>
        <v>0</v>
      </c>
      <c r="K19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91" s="57"/>
      <c r="M191" s="57">
        <f>Table510[[#This Row],[اجمالي المبلغ]]-Table510[[#This Row],[المبلغ المدفوع]]</f>
        <v>0</v>
      </c>
      <c r="N191" s="60">
        <f>2000/5</f>
        <v>400</v>
      </c>
    </row>
    <row r="192" spans="1:14" hidden="1" x14ac:dyDescent="0.3">
      <c r="A192" s="52">
        <f t="shared" si="2"/>
        <v>189</v>
      </c>
      <c r="B192" s="63" t="s">
        <v>83</v>
      </c>
      <c r="C192" s="56">
        <v>45323</v>
      </c>
      <c r="D192" s="55"/>
      <c r="E192" s="57">
        <v>6761</v>
      </c>
      <c r="F192" s="59">
        <v>5</v>
      </c>
      <c r="G192" s="57"/>
      <c r="H192" s="57"/>
      <c r="I192" s="57"/>
      <c r="J192" s="57">
        <f>Table510[[#This Row],[العدد]]*Table510[[#This Row],[الفئة]]</f>
        <v>33805</v>
      </c>
      <c r="K19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92" s="57"/>
      <c r="M192" s="57">
        <f>Table510[[#This Row],[اجمالي المبلغ]]-Table510[[#This Row],[المبلغ المدفوع]]</f>
        <v>0</v>
      </c>
      <c r="N192" s="60"/>
    </row>
    <row r="193" spans="1:14" hidden="1" x14ac:dyDescent="0.3">
      <c r="A193" s="52">
        <f t="shared" si="2"/>
        <v>190</v>
      </c>
      <c r="B193" s="63"/>
      <c r="C193" s="56"/>
      <c r="D193" s="55"/>
      <c r="E193" s="57"/>
      <c r="F193" s="59">
        <v>5</v>
      </c>
      <c r="G193" s="57"/>
      <c r="H193" s="57"/>
      <c r="I193" s="57"/>
      <c r="J193" s="57">
        <f>Table510[[#This Row],[العدد]]*Table510[[#This Row],[الفئة]]</f>
        <v>0</v>
      </c>
      <c r="K19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93" s="57"/>
      <c r="M193" s="57">
        <f>Table510[[#This Row],[اجمالي المبلغ]]-Table510[[#This Row],[المبلغ المدفوع]]</f>
        <v>0</v>
      </c>
      <c r="N193" s="60"/>
    </row>
    <row r="194" spans="1:14" hidden="1" x14ac:dyDescent="0.3">
      <c r="A194" s="52">
        <f t="shared" si="2"/>
        <v>191</v>
      </c>
      <c r="B194" s="63" t="s">
        <v>94</v>
      </c>
      <c r="C194" s="56">
        <v>45326</v>
      </c>
      <c r="D194" s="55"/>
      <c r="E194" s="57">
        <v>10</v>
      </c>
      <c r="F194" s="59">
        <v>5</v>
      </c>
      <c r="G194" s="57">
        <v>40</v>
      </c>
      <c r="H194" s="57"/>
      <c r="I194" s="57"/>
      <c r="J194" s="57">
        <f>Table510[[#This Row],[العدد]]*Table510[[#This Row],[الفئة]]</f>
        <v>50</v>
      </c>
      <c r="K19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</v>
      </c>
      <c r="L194" s="57"/>
      <c r="M194" s="57">
        <f>Table510[[#This Row],[اجمالي المبلغ]]-Table510[[#This Row],[المبلغ المدفوع]]</f>
        <v>2000</v>
      </c>
      <c r="N194" s="60"/>
    </row>
    <row r="195" spans="1:14" hidden="1" x14ac:dyDescent="0.3">
      <c r="A195" s="52">
        <f t="shared" si="2"/>
        <v>192</v>
      </c>
      <c r="B195" s="63" t="s">
        <v>94</v>
      </c>
      <c r="C195" s="56">
        <v>45326</v>
      </c>
      <c r="D195" s="55"/>
      <c r="E195" s="57">
        <v>10</v>
      </c>
      <c r="F195" s="59">
        <v>5</v>
      </c>
      <c r="G195" s="57">
        <v>38</v>
      </c>
      <c r="H195" s="57"/>
      <c r="I195" s="57"/>
      <c r="J195" s="57">
        <f>Table510[[#This Row],[العدد]]*Table510[[#This Row],[الفئة]]</f>
        <v>50</v>
      </c>
      <c r="K19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</v>
      </c>
      <c r="L195" s="57"/>
      <c r="M195" s="57">
        <f>Table510[[#This Row],[اجمالي المبلغ]]-Table510[[#This Row],[المبلغ المدفوع]]</f>
        <v>1900</v>
      </c>
      <c r="N195" s="60"/>
    </row>
    <row r="196" spans="1:14" hidden="1" x14ac:dyDescent="0.3">
      <c r="A196" s="52">
        <f t="shared" si="2"/>
        <v>193</v>
      </c>
      <c r="B196" s="63" t="s">
        <v>94</v>
      </c>
      <c r="C196" s="56">
        <v>45326</v>
      </c>
      <c r="D196" s="55"/>
      <c r="E196" s="57">
        <v>12</v>
      </c>
      <c r="F196" s="59">
        <v>5</v>
      </c>
      <c r="G196" s="57">
        <v>38</v>
      </c>
      <c r="H196" s="57"/>
      <c r="I196" s="57"/>
      <c r="J196" s="57">
        <f>Table510[[#This Row],[العدد]]*Table510[[#This Row],[الفئة]]</f>
        <v>60</v>
      </c>
      <c r="K19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2280</v>
      </c>
      <c r="L196" s="57"/>
      <c r="M196" s="57">
        <f>Table510[[#This Row],[اجمالي المبلغ]]-Table510[[#This Row],[المبلغ المدفوع]]</f>
        <v>2280</v>
      </c>
      <c r="N196" s="60"/>
    </row>
    <row r="197" spans="1:14" hidden="1" x14ac:dyDescent="0.3">
      <c r="A197" s="52">
        <f t="shared" si="2"/>
        <v>194</v>
      </c>
      <c r="B197" s="63"/>
      <c r="C197" s="56"/>
      <c r="D197" s="55"/>
      <c r="E197" s="57"/>
      <c r="F197" s="59">
        <v>5</v>
      </c>
      <c r="G197" s="57"/>
      <c r="H197" s="57"/>
      <c r="I197" s="57"/>
      <c r="J197" s="57">
        <f>Table510[[#This Row],[العدد]]*Table510[[#This Row],[الفئة]]</f>
        <v>0</v>
      </c>
      <c r="K19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197" s="57"/>
      <c r="M197" s="57">
        <f>Table510[[#This Row],[اجمالي المبلغ]]-Table510[[#This Row],[المبلغ المدفوع]]</f>
        <v>0</v>
      </c>
      <c r="N197" s="60"/>
    </row>
    <row r="198" spans="1:14" hidden="1" x14ac:dyDescent="0.3">
      <c r="A198" s="52">
        <f t="shared" ref="A198:A261" si="3">A197+1</f>
        <v>195</v>
      </c>
      <c r="B198" s="63" t="s">
        <v>48</v>
      </c>
      <c r="C198" s="56">
        <v>45326</v>
      </c>
      <c r="D198" s="55"/>
      <c r="E198" s="57">
        <v>300</v>
      </c>
      <c r="F198" s="59">
        <v>5</v>
      </c>
      <c r="G198" s="57">
        <v>40</v>
      </c>
      <c r="H198" s="57"/>
      <c r="I198" s="57"/>
      <c r="J198" s="57">
        <f>Table510[[#This Row],[العدد]]*Table510[[#This Row],[الفئة]]</f>
        <v>1500</v>
      </c>
      <c r="K19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60000</v>
      </c>
      <c r="L198" s="57"/>
      <c r="M198" s="57">
        <f>Table510[[#This Row],[اجمالي المبلغ]]-Table510[[#This Row],[المبلغ المدفوع]]</f>
        <v>60000</v>
      </c>
      <c r="N198" s="60"/>
    </row>
    <row r="199" spans="1:14" hidden="1" x14ac:dyDescent="0.3">
      <c r="A199" s="52">
        <f t="shared" si="3"/>
        <v>196</v>
      </c>
      <c r="B199" s="63" t="s">
        <v>48</v>
      </c>
      <c r="C199" s="56">
        <v>45326</v>
      </c>
      <c r="D199" s="55"/>
      <c r="E199" s="57">
        <v>50</v>
      </c>
      <c r="F199" s="59">
        <v>5</v>
      </c>
      <c r="G199" s="57">
        <v>38</v>
      </c>
      <c r="H199" s="57"/>
      <c r="I199" s="57"/>
      <c r="J199" s="57">
        <f>Table510[[#This Row],[العدد]]*Table510[[#This Row],[الفئة]]</f>
        <v>250</v>
      </c>
      <c r="K19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199" s="57"/>
      <c r="M199" s="57">
        <f>Table510[[#This Row],[اجمالي المبلغ]]-Table510[[#This Row],[المبلغ المدفوع]]</f>
        <v>9500</v>
      </c>
      <c r="N199" s="60"/>
    </row>
    <row r="200" spans="1:14" hidden="1" x14ac:dyDescent="0.3">
      <c r="A200" s="52">
        <f t="shared" si="3"/>
        <v>197</v>
      </c>
      <c r="B200" s="63" t="s">
        <v>48</v>
      </c>
      <c r="C200" s="56">
        <v>45326</v>
      </c>
      <c r="D200" s="55"/>
      <c r="E200" s="57">
        <v>22</v>
      </c>
      <c r="F200" s="59">
        <v>5</v>
      </c>
      <c r="G200" s="57">
        <v>38</v>
      </c>
      <c r="H200" s="57"/>
      <c r="I200" s="57"/>
      <c r="J200" s="57">
        <f>Table510[[#This Row],[العدد]]*Table510[[#This Row],[الفئة]]</f>
        <v>110</v>
      </c>
      <c r="K20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4180</v>
      </c>
      <c r="L200" s="57"/>
      <c r="M200" s="57">
        <f>Table510[[#This Row],[اجمالي المبلغ]]-Table510[[#This Row],[المبلغ المدفوع]]</f>
        <v>4180</v>
      </c>
      <c r="N200" s="60"/>
    </row>
    <row r="201" spans="1:14" hidden="1" x14ac:dyDescent="0.3">
      <c r="A201" s="52">
        <f t="shared" si="3"/>
        <v>198</v>
      </c>
      <c r="B201" s="63"/>
      <c r="C201" s="56"/>
      <c r="D201" s="55"/>
      <c r="E201" s="57"/>
      <c r="F201" s="59">
        <v>5</v>
      </c>
      <c r="G201" s="57"/>
      <c r="H201" s="57"/>
      <c r="I201" s="57"/>
      <c r="J201" s="57">
        <f>Table510[[#This Row],[العدد]]*Table510[[#This Row],[الفئة]]</f>
        <v>0</v>
      </c>
      <c r="K20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01" s="57"/>
      <c r="M201" s="57">
        <f>Table510[[#This Row],[اجمالي المبلغ]]-Table510[[#This Row],[المبلغ المدفوع]]</f>
        <v>0</v>
      </c>
      <c r="N201" s="60"/>
    </row>
    <row r="202" spans="1:14" hidden="1" x14ac:dyDescent="0.3">
      <c r="A202" s="52">
        <f t="shared" si="3"/>
        <v>199</v>
      </c>
      <c r="B202" s="63" t="s">
        <v>95</v>
      </c>
      <c r="C202" s="56">
        <v>45326</v>
      </c>
      <c r="D202" s="55"/>
      <c r="E202" s="57">
        <v>10</v>
      </c>
      <c r="F202" s="59">
        <v>5</v>
      </c>
      <c r="G202" s="57">
        <v>40</v>
      </c>
      <c r="H202" s="57"/>
      <c r="I202" s="57"/>
      <c r="J202" s="57">
        <f>Table510[[#This Row],[العدد]]*Table510[[#This Row],[الفئة]]</f>
        <v>50</v>
      </c>
      <c r="K20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</v>
      </c>
      <c r="L202" s="57">
        <f>Table510[[#This Row],[اجمالي المبلغ]]</f>
        <v>2000</v>
      </c>
      <c r="M202" s="57">
        <f>Table510[[#This Row],[اجمالي المبلغ]]-Table510[[#This Row],[المبلغ المدفوع]]</f>
        <v>0</v>
      </c>
      <c r="N202" s="60"/>
    </row>
    <row r="203" spans="1:14" hidden="1" x14ac:dyDescent="0.3">
      <c r="A203" s="52">
        <f t="shared" si="3"/>
        <v>200</v>
      </c>
      <c r="B203" s="63" t="s">
        <v>95</v>
      </c>
      <c r="C203" s="56">
        <v>45326</v>
      </c>
      <c r="D203" s="55"/>
      <c r="E203" s="57">
        <v>5</v>
      </c>
      <c r="F203" s="59">
        <v>5</v>
      </c>
      <c r="G203" s="57">
        <v>44</v>
      </c>
      <c r="H203" s="57"/>
      <c r="I203" s="57"/>
      <c r="J203" s="57">
        <f>Table510[[#This Row],[العدد]]*Table510[[#This Row],[الفئة]]</f>
        <v>25</v>
      </c>
      <c r="K20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1100</v>
      </c>
      <c r="L203" s="57">
        <f>Table510[[#This Row],[اجمالي المبلغ]]</f>
        <v>1100</v>
      </c>
      <c r="M203" s="57">
        <f>Table510[[#This Row],[اجمالي المبلغ]]-Table510[[#This Row],[المبلغ المدفوع]]</f>
        <v>0</v>
      </c>
      <c r="N203" s="60"/>
    </row>
    <row r="204" spans="1:14" hidden="1" x14ac:dyDescent="0.3">
      <c r="A204" s="52">
        <f t="shared" si="3"/>
        <v>201</v>
      </c>
      <c r="B204" s="63" t="s">
        <v>95</v>
      </c>
      <c r="C204" s="56">
        <v>45326</v>
      </c>
      <c r="D204" s="55"/>
      <c r="E204" s="57">
        <v>24</v>
      </c>
      <c r="F204" s="59">
        <v>5</v>
      </c>
      <c r="G204" s="57">
        <v>38</v>
      </c>
      <c r="H204" s="57"/>
      <c r="I204" s="57"/>
      <c r="J204" s="57">
        <f>Table510[[#This Row],[العدد]]*Table510[[#This Row],[الفئة]]</f>
        <v>120</v>
      </c>
      <c r="K20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4560</v>
      </c>
      <c r="L204" s="57">
        <f>Table510[[#This Row],[اجمالي المبلغ]]</f>
        <v>4560</v>
      </c>
      <c r="M204" s="57">
        <f>Table510[[#This Row],[اجمالي المبلغ]]-Table510[[#This Row],[المبلغ المدفوع]]</f>
        <v>0</v>
      </c>
      <c r="N204" s="60"/>
    </row>
    <row r="205" spans="1:14" hidden="1" x14ac:dyDescent="0.3">
      <c r="A205" s="52">
        <f t="shared" si="3"/>
        <v>202</v>
      </c>
      <c r="B205" s="63"/>
      <c r="C205" s="56"/>
      <c r="D205" s="55"/>
      <c r="E205" s="57"/>
      <c r="F205" s="59">
        <v>5</v>
      </c>
      <c r="G205" s="57"/>
      <c r="H205" s="57"/>
      <c r="I205" s="57"/>
      <c r="J205" s="57">
        <f>Table510[[#This Row],[العدد]]*Table510[[#This Row],[الفئة]]</f>
        <v>0</v>
      </c>
      <c r="K20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05" s="57"/>
      <c r="M205" s="57">
        <f>Table510[[#This Row],[اجمالي المبلغ]]-Table510[[#This Row],[المبلغ المدفوع]]</f>
        <v>0</v>
      </c>
      <c r="N205" s="60"/>
    </row>
    <row r="206" spans="1:14" hidden="1" x14ac:dyDescent="0.3">
      <c r="A206" s="52">
        <f t="shared" si="3"/>
        <v>203</v>
      </c>
      <c r="B206" s="63" t="s">
        <v>19</v>
      </c>
      <c r="C206" s="56">
        <v>45326</v>
      </c>
      <c r="D206" s="55"/>
      <c r="E206" s="57">
        <v>500</v>
      </c>
      <c r="F206" s="59">
        <v>5</v>
      </c>
      <c r="G206" s="57">
        <v>40</v>
      </c>
      <c r="H206" s="57"/>
      <c r="I206" s="57">
        <v>250</v>
      </c>
      <c r="J206" s="57">
        <f>Table510[[#This Row],[العدد]]*Table510[[#This Row],[الفئة]]</f>
        <v>2500</v>
      </c>
      <c r="K20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100250</v>
      </c>
      <c r="L206" s="57"/>
      <c r="M206" s="57">
        <f>Table510[[#This Row],[اجمالي المبلغ]]-Table510[[#This Row],[المبلغ المدفوع]]</f>
        <v>100250</v>
      </c>
      <c r="N206" s="60"/>
    </row>
    <row r="207" spans="1:14" hidden="1" x14ac:dyDescent="0.3">
      <c r="A207" s="52">
        <f t="shared" si="3"/>
        <v>204</v>
      </c>
      <c r="B207" s="63"/>
      <c r="C207" s="56"/>
      <c r="D207" s="55"/>
      <c r="E207" s="57"/>
      <c r="F207" s="59">
        <v>5</v>
      </c>
      <c r="G207" s="57"/>
      <c r="H207" s="57"/>
      <c r="I207" s="57"/>
      <c r="J207" s="57">
        <f>Table510[[#This Row],[العدد]]*Table510[[#This Row],[الفئة]]</f>
        <v>0</v>
      </c>
      <c r="K20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07" s="57"/>
      <c r="M207" s="57">
        <f>Table510[[#This Row],[اجمالي المبلغ]]-Table510[[#This Row],[المبلغ المدفوع]]</f>
        <v>0</v>
      </c>
      <c r="N207" s="60"/>
    </row>
    <row r="208" spans="1:14" hidden="1" x14ac:dyDescent="0.3">
      <c r="A208" s="52">
        <f t="shared" si="3"/>
        <v>205</v>
      </c>
      <c r="B208" s="63" t="s">
        <v>27</v>
      </c>
      <c r="C208" s="56">
        <v>45326</v>
      </c>
      <c r="D208" s="55"/>
      <c r="E208" s="57">
        <v>2000</v>
      </c>
      <c r="F208" s="59">
        <v>5</v>
      </c>
      <c r="G208" s="57">
        <v>38</v>
      </c>
      <c r="H208" s="57"/>
      <c r="I208" s="57">
        <v>500</v>
      </c>
      <c r="J208" s="57">
        <f>Table510[[#This Row],[العدد]]*Table510[[#This Row],[الفئة]]</f>
        <v>10000</v>
      </c>
      <c r="K20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380500</v>
      </c>
      <c r="L208" s="57"/>
      <c r="M208" s="57">
        <f>Table510[[#This Row],[اجمالي المبلغ]]-Table510[[#This Row],[المبلغ المدفوع]]</f>
        <v>380500</v>
      </c>
      <c r="N208" s="60"/>
    </row>
    <row r="209" spans="1:14" hidden="1" x14ac:dyDescent="0.3">
      <c r="A209" s="52">
        <f t="shared" si="3"/>
        <v>206</v>
      </c>
      <c r="B209" s="63" t="s">
        <v>27</v>
      </c>
      <c r="C209" s="56">
        <v>45326</v>
      </c>
      <c r="D209" s="55"/>
      <c r="E209" s="57">
        <v>1000</v>
      </c>
      <c r="F209" s="59">
        <v>5</v>
      </c>
      <c r="G209" s="57">
        <v>38</v>
      </c>
      <c r="H209" s="57"/>
      <c r="I209" s="57"/>
      <c r="J209" s="57">
        <f>Table510[[#This Row],[العدد]]*Table510[[#This Row],[الفئة]]</f>
        <v>5000</v>
      </c>
      <c r="K20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190000</v>
      </c>
      <c r="L209" s="57"/>
      <c r="M209" s="57">
        <f>Table510[[#This Row],[اجمالي المبلغ]]-Table510[[#This Row],[المبلغ المدفوع]]</f>
        <v>190000</v>
      </c>
      <c r="N209" s="60"/>
    </row>
    <row r="210" spans="1:14" hidden="1" x14ac:dyDescent="0.3">
      <c r="A210" s="52">
        <f t="shared" si="3"/>
        <v>207</v>
      </c>
      <c r="B210" s="63" t="s">
        <v>27</v>
      </c>
      <c r="C210" s="56">
        <v>45326</v>
      </c>
      <c r="D210" s="55"/>
      <c r="E210" s="57">
        <v>400</v>
      </c>
      <c r="F210" s="59">
        <v>5</v>
      </c>
      <c r="G210" s="57">
        <v>40</v>
      </c>
      <c r="H210" s="57"/>
      <c r="I210" s="57"/>
      <c r="J210" s="57">
        <f>Table510[[#This Row],[العدد]]*Table510[[#This Row],[الفئة]]</f>
        <v>2000</v>
      </c>
      <c r="K21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80000</v>
      </c>
      <c r="L210" s="57"/>
      <c r="M210" s="57">
        <f>Table510[[#This Row],[اجمالي المبلغ]]-Table510[[#This Row],[المبلغ المدفوع]]</f>
        <v>80000</v>
      </c>
      <c r="N210" s="60"/>
    </row>
    <row r="211" spans="1:14" hidden="1" x14ac:dyDescent="0.3">
      <c r="A211" s="52">
        <f t="shared" si="3"/>
        <v>208</v>
      </c>
      <c r="B211" s="63"/>
      <c r="C211" s="56"/>
      <c r="D211" s="55"/>
      <c r="E211" s="57"/>
      <c r="F211" s="59">
        <v>5</v>
      </c>
      <c r="G211" s="57"/>
      <c r="H211" s="57"/>
      <c r="I211" s="57"/>
      <c r="J211" s="57">
        <f>Table510[[#This Row],[العدد]]*Table510[[#This Row],[الفئة]]</f>
        <v>0</v>
      </c>
      <c r="K21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11" s="57"/>
      <c r="M211" s="57">
        <f>Table510[[#This Row],[اجمالي المبلغ]]-Table510[[#This Row],[المبلغ المدفوع]]</f>
        <v>0</v>
      </c>
      <c r="N211" s="60"/>
    </row>
    <row r="212" spans="1:14" hidden="1" x14ac:dyDescent="0.3">
      <c r="A212" s="52">
        <f t="shared" si="3"/>
        <v>209</v>
      </c>
      <c r="B212" s="55" t="s">
        <v>146</v>
      </c>
      <c r="C212" s="56">
        <v>45327</v>
      </c>
      <c r="D212" s="55"/>
      <c r="E212" s="57">
        <v>200</v>
      </c>
      <c r="F212" s="59">
        <v>5</v>
      </c>
      <c r="G212" s="57">
        <v>44</v>
      </c>
      <c r="H212" s="57"/>
      <c r="I212" s="57"/>
      <c r="J212" s="57">
        <f>Table510[[#This Row],[العدد]]*Table510[[#This Row],[الفئة]]</f>
        <v>1000</v>
      </c>
      <c r="K21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44000</v>
      </c>
      <c r="L212" s="57">
        <v>50850</v>
      </c>
      <c r="M212" s="57">
        <f>Table510[[#This Row],[اجمالي المبلغ]]-Table510[[#This Row],[المبلغ المدفوع]]</f>
        <v>-6850</v>
      </c>
      <c r="N212" s="60"/>
    </row>
    <row r="213" spans="1:14" hidden="1" x14ac:dyDescent="0.3">
      <c r="A213" s="52">
        <f t="shared" si="3"/>
        <v>210</v>
      </c>
      <c r="B213" s="55" t="s">
        <v>146</v>
      </c>
      <c r="C213" s="56">
        <v>45327</v>
      </c>
      <c r="D213" s="55"/>
      <c r="E213" s="57">
        <v>460</v>
      </c>
      <c r="F213" s="59">
        <v>5</v>
      </c>
      <c r="G213" s="57">
        <v>40</v>
      </c>
      <c r="H213" s="57"/>
      <c r="I213" s="57"/>
      <c r="J213" s="57">
        <f>Table510[[#This Row],[العدد]]*Table510[[#This Row],[الفئة]]</f>
        <v>2300</v>
      </c>
      <c r="K21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92000</v>
      </c>
      <c r="L213" s="57"/>
      <c r="M213" s="57">
        <f>Table510[[#This Row],[اجمالي المبلغ]]-Table510[[#This Row],[المبلغ المدفوع]]</f>
        <v>92000</v>
      </c>
      <c r="N213" s="60"/>
    </row>
    <row r="214" spans="1:14" hidden="1" x14ac:dyDescent="0.3">
      <c r="A214" s="52">
        <f t="shared" si="3"/>
        <v>211</v>
      </c>
      <c r="B214" s="55" t="s">
        <v>146</v>
      </c>
      <c r="C214" s="56">
        <v>45327</v>
      </c>
      <c r="D214" s="55"/>
      <c r="E214" s="57">
        <v>200</v>
      </c>
      <c r="F214" s="59">
        <v>5</v>
      </c>
      <c r="G214" s="57">
        <v>40</v>
      </c>
      <c r="H214" s="57"/>
      <c r="I214" s="57"/>
      <c r="J214" s="57">
        <f>Table510[[#This Row],[العدد]]*Table510[[#This Row],[الفئة]]</f>
        <v>1000</v>
      </c>
      <c r="K21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214" s="57"/>
      <c r="M214" s="57">
        <f>Table510[[#This Row],[اجمالي المبلغ]]-Table510[[#This Row],[المبلغ المدفوع]]</f>
        <v>40000</v>
      </c>
      <c r="N214" s="60"/>
    </row>
    <row r="215" spans="1:14" hidden="1" x14ac:dyDescent="0.3">
      <c r="A215" s="52">
        <f t="shared" si="3"/>
        <v>212</v>
      </c>
      <c r="B215" s="55" t="s">
        <v>146</v>
      </c>
      <c r="C215" s="56">
        <v>45327</v>
      </c>
      <c r="D215" s="55"/>
      <c r="E215" s="57">
        <v>243</v>
      </c>
      <c r="F215" s="59">
        <v>5</v>
      </c>
      <c r="G215" s="57">
        <v>43</v>
      </c>
      <c r="H215" s="57"/>
      <c r="I215" s="57"/>
      <c r="J215" s="57">
        <f>Table510[[#This Row],[العدد]]*Table510[[#This Row],[الفئة]]</f>
        <v>1215</v>
      </c>
      <c r="K21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52245</v>
      </c>
      <c r="L215" s="57"/>
      <c r="M215" s="57">
        <f>Table510[[#This Row],[اجمالي المبلغ]]-Table510[[#This Row],[المبلغ المدفوع]]</f>
        <v>52245</v>
      </c>
      <c r="N215" s="60"/>
    </row>
    <row r="216" spans="1:14" hidden="1" x14ac:dyDescent="0.3">
      <c r="A216" s="52">
        <f t="shared" si="3"/>
        <v>213</v>
      </c>
      <c r="B216" s="63"/>
      <c r="C216" s="56"/>
      <c r="D216" s="55"/>
      <c r="E216" s="57"/>
      <c r="F216" s="59">
        <v>5</v>
      </c>
      <c r="G216" s="57"/>
      <c r="H216" s="57"/>
      <c r="I216" s="57"/>
      <c r="J216" s="57">
        <f>Table510[[#This Row],[العدد]]*Table510[[#This Row],[الفئة]]</f>
        <v>0</v>
      </c>
      <c r="K21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16" s="57"/>
      <c r="M216" s="57">
        <f>Table510[[#This Row],[اجمالي المبلغ]]-Table510[[#This Row],[المبلغ المدفوع]]</f>
        <v>0</v>
      </c>
      <c r="N216" s="60"/>
    </row>
    <row r="217" spans="1:14" hidden="1" x14ac:dyDescent="0.3">
      <c r="A217" s="52">
        <f t="shared" si="3"/>
        <v>214</v>
      </c>
      <c r="B217" s="63" t="s">
        <v>96</v>
      </c>
      <c r="C217" s="56">
        <v>45327</v>
      </c>
      <c r="D217" s="55"/>
      <c r="E217" s="57">
        <v>200</v>
      </c>
      <c r="F217" s="59">
        <v>5</v>
      </c>
      <c r="G217" s="57">
        <v>38</v>
      </c>
      <c r="H217" s="57"/>
      <c r="I217" s="57"/>
      <c r="J217" s="57">
        <f>Table510[[#This Row],[العدد]]*Table510[[#This Row],[الفئة]]</f>
        <v>1000</v>
      </c>
      <c r="K21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</v>
      </c>
      <c r="L217" s="57"/>
      <c r="M217" s="57">
        <f>Table510[[#This Row],[اجمالي المبلغ]]-Table510[[#This Row],[المبلغ المدفوع]]</f>
        <v>38000</v>
      </c>
      <c r="N217" s="60"/>
    </row>
    <row r="218" spans="1:14" hidden="1" x14ac:dyDescent="0.3">
      <c r="A218" s="52">
        <f t="shared" si="3"/>
        <v>215</v>
      </c>
      <c r="B218" s="63"/>
      <c r="C218" s="56"/>
      <c r="D218" s="55"/>
      <c r="E218" s="57"/>
      <c r="F218" s="59">
        <v>5</v>
      </c>
      <c r="G218" s="57"/>
      <c r="H218" s="57"/>
      <c r="I218" s="57"/>
      <c r="J218" s="57">
        <f>Table510[[#This Row],[العدد]]*Table510[[#This Row],[الفئة]]</f>
        <v>0</v>
      </c>
      <c r="K21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18" s="57"/>
      <c r="M218" s="57">
        <f>Table510[[#This Row],[اجمالي المبلغ]]-Table510[[#This Row],[المبلغ المدفوع]]</f>
        <v>0</v>
      </c>
      <c r="N218" s="60"/>
    </row>
    <row r="219" spans="1:14" hidden="1" x14ac:dyDescent="0.3">
      <c r="A219" s="52">
        <f t="shared" si="3"/>
        <v>216</v>
      </c>
      <c r="B219" s="63" t="s">
        <v>89</v>
      </c>
      <c r="C219" s="56">
        <v>45328</v>
      </c>
      <c r="D219" s="55"/>
      <c r="E219" s="57">
        <v>50</v>
      </c>
      <c r="F219" s="59">
        <v>5</v>
      </c>
      <c r="G219" s="57">
        <v>40</v>
      </c>
      <c r="H219" s="57"/>
      <c r="I219" s="57">
        <v>250</v>
      </c>
      <c r="J219" s="57">
        <f>Table510[[#This Row],[العدد]]*Table510[[#This Row],[الفئة]]</f>
        <v>250</v>
      </c>
      <c r="K21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10250</v>
      </c>
      <c r="L219" s="57"/>
      <c r="M219" s="57">
        <f>Table510[[#This Row],[اجمالي المبلغ]]-Table510[[#This Row],[المبلغ المدفوع]]</f>
        <v>10250</v>
      </c>
      <c r="N219" s="60" t="s">
        <v>143</v>
      </c>
    </row>
    <row r="220" spans="1:14" hidden="1" x14ac:dyDescent="0.3">
      <c r="A220" s="52">
        <f t="shared" si="3"/>
        <v>217</v>
      </c>
      <c r="B220" s="63"/>
      <c r="C220" s="56"/>
      <c r="D220" s="55"/>
      <c r="E220" s="57"/>
      <c r="F220" s="59">
        <v>5</v>
      </c>
      <c r="G220" s="57"/>
      <c r="H220" s="57"/>
      <c r="I220" s="57"/>
      <c r="J220" s="57">
        <f>Table510[[#This Row],[العدد]]*Table510[[#This Row],[الفئة]]</f>
        <v>0</v>
      </c>
      <c r="K22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20" s="57"/>
      <c r="M220" s="57">
        <f>Table510[[#This Row],[اجمالي المبلغ]]-Table510[[#This Row],[المبلغ المدفوع]]</f>
        <v>0</v>
      </c>
      <c r="N220" s="60"/>
    </row>
    <row r="221" spans="1:14" hidden="1" x14ac:dyDescent="0.3">
      <c r="A221" s="52">
        <f t="shared" si="3"/>
        <v>218</v>
      </c>
      <c r="B221" s="63" t="s">
        <v>97</v>
      </c>
      <c r="C221" s="56">
        <v>45328</v>
      </c>
      <c r="D221" s="55"/>
      <c r="E221" s="57">
        <v>40</v>
      </c>
      <c r="F221" s="59">
        <v>5</v>
      </c>
      <c r="G221" s="57">
        <v>38</v>
      </c>
      <c r="H221" s="57"/>
      <c r="I221" s="57"/>
      <c r="J221" s="57">
        <f>Table510[[#This Row],[العدد]]*Table510[[#This Row],[الفئة]]</f>
        <v>200</v>
      </c>
      <c r="K22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221" s="57"/>
      <c r="M221" s="57">
        <f>Table510[[#This Row],[اجمالي المبلغ]]-Table510[[#This Row],[المبلغ المدفوع]]</f>
        <v>7600</v>
      </c>
      <c r="N221" s="60"/>
    </row>
    <row r="222" spans="1:14" hidden="1" x14ac:dyDescent="0.3">
      <c r="A222" s="52">
        <f t="shared" si="3"/>
        <v>219</v>
      </c>
      <c r="B222" s="63"/>
      <c r="C222" s="56"/>
      <c r="D222" s="55"/>
      <c r="E222" s="57"/>
      <c r="F222" s="59">
        <v>5</v>
      </c>
      <c r="G222" s="57"/>
      <c r="H222" s="57"/>
      <c r="I222" s="57"/>
      <c r="J222" s="57">
        <f>Table510[[#This Row],[العدد]]*Table510[[#This Row],[الفئة]]</f>
        <v>0</v>
      </c>
      <c r="K22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22" s="57"/>
      <c r="M222" s="57">
        <f>Table510[[#This Row],[اجمالي المبلغ]]-Table510[[#This Row],[المبلغ المدفوع]]</f>
        <v>0</v>
      </c>
      <c r="N222" s="60"/>
    </row>
    <row r="223" spans="1:14" hidden="1" x14ac:dyDescent="0.3">
      <c r="A223" s="52">
        <f t="shared" si="3"/>
        <v>220</v>
      </c>
      <c r="B223" s="63" t="s">
        <v>45</v>
      </c>
      <c r="C223" s="56">
        <v>45328</v>
      </c>
      <c r="D223" s="55"/>
      <c r="E223" s="57">
        <v>12</v>
      </c>
      <c r="F223" s="59">
        <v>5</v>
      </c>
      <c r="G223" s="57">
        <v>39</v>
      </c>
      <c r="H223" s="57"/>
      <c r="I223" s="57"/>
      <c r="J223" s="57">
        <f>Table510[[#This Row],[العدد]]*Table510[[#This Row],[الفئة]]</f>
        <v>60</v>
      </c>
      <c r="K22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2340</v>
      </c>
      <c r="L223" s="57"/>
      <c r="M223" s="57">
        <f>Table510[[#This Row],[اجمالي المبلغ]]-Table510[[#This Row],[المبلغ المدفوع]]</f>
        <v>2340</v>
      </c>
      <c r="N223" s="60"/>
    </row>
    <row r="224" spans="1:14" hidden="1" x14ac:dyDescent="0.3">
      <c r="A224" s="52">
        <f t="shared" si="3"/>
        <v>221</v>
      </c>
      <c r="B224" s="63" t="s">
        <v>45</v>
      </c>
      <c r="C224" s="56">
        <v>45328</v>
      </c>
      <c r="D224" s="55"/>
      <c r="E224" s="57">
        <v>10</v>
      </c>
      <c r="F224" s="59">
        <v>5</v>
      </c>
      <c r="G224" s="57">
        <v>39</v>
      </c>
      <c r="H224" s="57"/>
      <c r="I224" s="57"/>
      <c r="J224" s="57">
        <f>Table510[[#This Row],[العدد]]*Table510[[#This Row],[الفئة]]</f>
        <v>50</v>
      </c>
      <c r="K22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1950</v>
      </c>
      <c r="L224" s="57"/>
      <c r="M224" s="57">
        <f>Table510[[#This Row],[اجمالي المبلغ]]-Table510[[#This Row],[المبلغ المدفوع]]</f>
        <v>1950</v>
      </c>
      <c r="N224" s="60"/>
    </row>
    <row r="225" spans="1:14" hidden="1" x14ac:dyDescent="0.3">
      <c r="A225" s="52">
        <f t="shared" si="3"/>
        <v>222</v>
      </c>
      <c r="B225" s="63"/>
      <c r="C225" s="56"/>
      <c r="D225" s="55"/>
      <c r="E225" s="57"/>
      <c r="F225" s="59">
        <v>5</v>
      </c>
      <c r="G225" s="57"/>
      <c r="H225" s="57"/>
      <c r="I225" s="57"/>
      <c r="J225" s="57">
        <f>Table510[[#This Row],[العدد]]*Table510[[#This Row],[الفئة]]</f>
        <v>0</v>
      </c>
      <c r="K22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25" s="57"/>
      <c r="M225" s="57">
        <f>Table510[[#This Row],[اجمالي المبلغ]]-Table510[[#This Row],[المبلغ المدفوع]]</f>
        <v>0</v>
      </c>
      <c r="N225" s="60"/>
    </row>
    <row r="226" spans="1:14" hidden="1" x14ac:dyDescent="0.3">
      <c r="A226" s="52">
        <f t="shared" si="3"/>
        <v>223</v>
      </c>
      <c r="B226" s="55" t="s">
        <v>29</v>
      </c>
      <c r="C226" s="56">
        <v>45328</v>
      </c>
      <c r="D226" s="55"/>
      <c r="E226" s="57">
        <v>85</v>
      </c>
      <c r="F226" s="59">
        <v>5</v>
      </c>
      <c r="G226" s="57">
        <v>38</v>
      </c>
      <c r="H226" s="57"/>
      <c r="I226" s="57"/>
      <c r="J226" s="57">
        <f>Table510[[#This Row],[العدد]]*Table510[[#This Row],[الفئة]]</f>
        <v>425</v>
      </c>
      <c r="K22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16150</v>
      </c>
      <c r="L226" s="57">
        <v>60000</v>
      </c>
      <c r="M226" s="57">
        <f>Table510[[#This Row],[اجمالي المبلغ]]-Table510[[#This Row],[المبلغ المدفوع]]</f>
        <v>-43850</v>
      </c>
      <c r="N226" s="60"/>
    </row>
    <row r="227" spans="1:14" hidden="1" x14ac:dyDescent="0.3">
      <c r="A227" s="52">
        <f t="shared" si="3"/>
        <v>224</v>
      </c>
      <c r="B227" s="55" t="s">
        <v>29</v>
      </c>
      <c r="C227" s="56">
        <v>45328</v>
      </c>
      <c r="D227" s="55"/>
      <c r="E227" s="57">
        <v>25</v>
      </c>
      <c r="F227" s="59">
        <v>5</v>
      </c>
      <c r="G227" s="57">
        <v>38</v>
      </c>
      <c r="H227" s="57"/>
      <c r="I227" s="57"/>
      <c r="J227" s="57">
        <f>Table510[[#This Row],[العدد]]*Table510[[#This Row],[الفئة]]</f>
        <v>125</v>
      </c>
      <c r="K22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4750</v>
      </c>
      <c r="L227" s="57">
        <v>25000</v>
      </c>
      <c r="M227" s="57">
        <f>Table510[[#This Row],[اجمالي المبلغ]]-Table510[[#This Row],[المبلغ المدفوع]]</f>
        <v>-20250</v>
      </c>
      <c r="N227" s="60"/>
    </row>
    <row r="228" spans="1:14" hidden="1" x14ac:dyDescent="0.3">
      <c r="A228" s="52">
        <f t="shared" si="3"/>
        <v>225</v>
      </c>
      <c r="B228" s="55" t="s">
        <v>29</v>
      </c>
      <c r="C228" s="56">
        <v>45328</v>
      </c>
      <c r="D228" s="55"/>
      <c r="E228" s="57">
        <v>50</v>
      </c>
      <c r="F228" s="59">
        <v>5</v>
      </c>
      <c r="G228" s="57">
        <v>38</v>
      </c>
      <c r="H228" s="57"/>
      <c r="I228" s="57"/>
      <c r="J228" s="57">
        <f>Table510[[#This Row],[العدد]]*Table510[[#This Row],[الفئة]]</f>
        <v>250</v>
      </c>
      <c r="K22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28" s="57"/>
      <c r="M228" s="57">
        <f>Table510[[#This Row],[اجمالي المبلغ]]-Table510[[#This Row],[المبلغ المدفوع]]</f>
        <v>9500</v>
      </c>
      <c r="N228" s="60"/>
    </row>
    <row r="229" spans="1:14" hidden="1" x14ac:dyDescent="0.3">
      <c r="A229" s="52">
        <f t="shared" si="3"/>
        <v>226</v>
      </c>
      <c r="B229" s="55" t="s">
        <v>29</v>
      </c>
      <c r="C229" s="56">
        <v>45328</v>
      </c>
      <c r="D229" s="55"/>
      <c r="E229" s="57">
        <v>12</v>
      </c>
      <c r="F229" s="59">
        <v>5</v>
      </c>
      <c r="G229" s="57">
        <v>38</v>
      </c>
      <c r="H229" s="57"/>
      <c r="I229" s="57"/>
      <c r="J229" s="57">
        <f>Table510[[#This Row],[العدد]]*Table510[[#This Row],[الفئة]]</f>
        <v>60</v>
      </c>
      <c r="K22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2280</v>
      </c>
      <c r="L229" s="57"/>
      <c r="M229" s="57">
        <f>Table510[[#This Row],[اجمالي المبلغ]]-Table510[[#This Row],[المبلغ المدفوع]]</f>
        <v>2280</v>
      </c>
      <c r="N229" s="60"/>
    </row>
    <row r="230" spans="1:14" hidden="1" x14ac:dyDescent="0.3">
      <c r="A230" s="52">
        <f t="shared" si="3"/>
        <v>227</v>
      </c>
      <c r="B230" s="55" t="s">
        <v>29</v>
      </c>
      <c r="C230" s="56">
        <v>45328</v>
      </c>
      <c r="D230" s="55"/>
      <c r="E230" s="57">
        <v>24</v>
      </c>
      <c r="F230" s="59">
        <v>5</v>
      </c>
      <c r="G230" s="57">
        <v>38</v>
      </c>
      <c r="H230" s="57"/>
      <c r="I230" s="57"/>
      <c r="J230" s="57">
        <f>Table510[[#This Row],[العدد]]*Table510[[#This Row],[الفئة]]</f>
        <v>120</v>
      </c>
      <c r="K23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4560</v>
      </c>
      <c r="L230" s="57"/>
      <c r="M230" s="57">
        <f>Table510[[#This Row],[اجمالي المبلغ]]-Table510[[#This Row],[المبلغ المدفوع]]</f>
        <v>4560</v>
      </c>
      <c r="N230" s="60"/>
    </row>
    <row r="231" spans="1:14" hidden="1" x14ac:dyDescent="0.3">
      <c r="A231" s="52">
        <f t="shared" si="3"/>
        <v>228</v>
      </c>
      <c r="B231" s="55" t="s">
        <v>29</v>
      </c>
      <c r="C231" s="56">
        <v>45328</v>
      </c>
      <c r="D231" s="55"/>
      <c r="E231" s="57">
        <v>15</v>
      </c>
      <c r="F231" s="59">
        <v>5</v>
      </c>
      <c r="G231" s="57">
        <v>38</v>
      </c>
      <c r="H231" s="57"/>
      <c r="I231" s="57"/>
      <c r="J231" s="57">
        <f>Table510[[#This Row],[العدد]]*Table510[[#This Row],[الفئة]]</f>
        <v>75</v>
      </c>
      <c r="K23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2850</v>
      </c>
      <c r="L231" s="57"/>
      <c r="M231" s="57">
        <f>Table510[[#This Row],[اجمالي المبلغ]]-Table510[[#This Row],[المبلغ المدفوع]]</f>
        <v>2850</v>
      </c>
      <c r="N231" s="60"/>
    </row>
    <row r="232" spans="1:14" hidden="1" x14ac:dyDescent="0.3">
      <c r="A232" s="52">
        <f t="shared" si="3"/>
        <v>229</v>
      </c>
      <c r="B232" s="55" t="s">
        <v>29</v>
      </c>
      <c r="C232" s="56">
        <v>45328</v>
      </c>
      <c r="D232" s="55"/>
      <c r="E232" s="57">
        <v>400</v>
      </c>
      <c r="F232" s="59">
        <v>5</v>
      </c>
      <c r="G232" s="57">
        <v>38</v>
      </c>
      <c r="H232" s="57"/>
      <c r="I232" s="57"/>
      <c r="J232" s="57">
        <f>Table510[[#This Row],[العدد]]*Table510[[#This Row],[الفئة]]</f>
        <v>2000</v>
      </c>
      <c r="K23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76000</v>
      </c>
      <c r="L232" s="57"/>
      <c r="M232" s="57">
        <f>Table510[[#This Row],[اجمالي المبلغ]]-Table510[[#This Row],[المبلغ المدفوع]]</f>
        <v>76000</v>
      </c>
      <c r="N232" s="60"/>
    </row>
    <row r="233" spans="1:14" hidden="1" x14ac:dyDescent="0.3">
      <c r="A233" s="52">
        <f t="shared" si="3"/>
        <v>230</v>
      </c>
      <c r="B233" s="55" t="s">
        <v>29</v>
      </c>
      <c r="C233" s="56">
        <v>45328</v>
      </c>
      <c r="D233" s="55"/>
      <c r="E233" s="57">
        <v>200</v>
      </c>
      <c r="F233" s="59">
        <v>5</v>
      </c>
      <c r="G233" s="57">
        <v>38</v>
      </c>
      <c r="H233" s="57"/>
      <c r="I233" s="57"/>
      <c r="J233" s="57">
        <f>Table510[[#This Row],[العدد]]*Table510[[#This Row],[الفئة]]</f>
        <v>1000</v>
      </c>
      <c r="K23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</v>
      </c>
      <c r="L233" s="57"/>
      <c r="M233" s="57">
        <f>Table510[[#This Row],[اجمالي المبلغ]]-Table510[[#This Row],[المبلغ المدفوع]]</f>
        <v>38000</v>
      </c>
      <c r="N233" s="60"/>
    </row>
    <row r="234" spans="1:14" hidden="1" x14ac:dyDescent="0.3">
      <c r="A234" s="52">
        <f t="shared" si="3"/>
        <v>231</v>
      </c>
      <c r="B234" s="55"/>
      <c r="C234" s="56"/>
      <c r="D234" s="55"/>
      <c r="E234" s="57"/>
      <c r="F234" s="59">
        <v>5</v>
      </c>
      <c r="G234" s="57"/>
      <c r="H234" s="57"/>
      <c r="I234" s="57"/>
      <c r="J234" s="57">
        <f>Table510[[#This Row],[العدد]]*Table510[[#This Row],[الفئة]]</f>
        <v>0</v>
      </c>
      <c r="K23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34" s="57"/>
      <c r="M234" s="57">
        <f>Table510[[#This Row],[اجمالي المبلغ]]-Table510[[#This Row],[المبلغ المدفوع]]</f>
        <v>0</v>
      </c>
      <c r="N234" s="60"/>
    </row>
    <row r="235" spans="1:14" hidden="1" x14ac:dyDescent="0.3">
      <c r="A235" s="52">
        <f t="shared" si="3"/>
        <v>232</v>
      </c>
      <c r="B235" s="55" t="s">
        <v>98</v>
      </c>
      <c r="C235" s="56">
        <v>45328</v>
      </c>
      <c r="D235" s="55"/>
      <c r="E235" s="57">
        <v>100</v>
      </c>
      <c r="F235" s="59">
        <v>5</v>
      </c>
      <c r="G235" s="57">
        <v>40</v>
      </c>
      <c r="H235" s="57"/>
      <c r="I235" s="57"/>
      <c r="J235" s="57">
        <f>Table510[[#This Row],[العدد]]*Table510[[#This Row],[الفئة]]</f>
        <v>500</v>
      </c>
      <c r="K23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20000</v>
      </c>
      <c r="L235" s="57"/>
      <c r="M235" s="57">
        <f>Table510[[#This Row],[اجمالي المبلغ]]-Table510[[#This Row],[المبلغ المدفوع]]</f>
        <v>20000</v>
      </c>
      <c r="N235" s="60"/>
    </row>
    <row r="236" spans="1:14" hidden="1" x14ac:dyDescent="0.3">
      <c r="A236" s="52">
        <f t="shared" si="3"/>
        <v>233</v>
      </c>
      <c r="B236" s="55" t="s">
        <v>98</v>
      </c>
      <c r="C236" s="56">
        <v>45328</v>
      </c>
      <c r="D236" s="55"/>
      <c r="E236" s="57">
        <v>360</v>
      </c>
      <c r="F236" s="59">
        <v>5</v>
      </c>
      <c r="G236" s="57">
        <v>38</v>
      </c>
      <c r="H236" s="57"/>
      <c r="I236" s="57"/>
      <c r="J236" s="57">
        <f>Table510[[#This Row],[العدد]]*Table510[[#This Row],[الفئة]]</f>
        <v>1800</v>
      </c>
      <c r="K23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68400</v>
      </c>
      <c r="L236" s="57"/>
      <c r="M236" s="57">
        <f>Table510[[#This Row],[اجمالي المبلغ]]-Table510[[#This Row],[المبلغ المدفوع]]</f>
        <v>68400</v>
      </c>
      <c r="N236" s="60"/>
    </row>
    <row r="237" spans="1:14" hidden="1" x14ac:dyDescent="0.3">
      <c r="A237" s="52">
        <f t="shared" si="3"/>
        <v>234</v>
      </c>
      <c r="B237" s="55" t="s">
        <v>98</v>
      </c>
      <c r="C237" s="56">
        <v>45328</v>
      </c>
      <c r="D237" s="55"/>
      <c r="E237" s="57">
        <v>70</v>
      </c>
      <c r="F237" s="59">
        <v>5</v>
      </c>
      <c r="G237" s="57">
        <v>38</v>
      </c>
      <c r="H237" s="57"/>
      <c r="I237" s="57"/>
      <c r="J237" s="57">
        <f>Table510[[#This Row],[العدد]]*Table510[[#This Row],[الفئة]]</f>
        <v>350</v>
      </c>
      <c r="K23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13300</v>
      </c>
      <c r="L237" s="57"/>
      <c r="M237" s="57">
        <f>Table510[[#This Row],[اجمالي المبلغ]]-Table510[[#This Row],[المبلغ المدفوع]]</f>
        <v>13300</v>
      </c>
      <c r="N237" s="60"/>
    </row>
    <row r="238" spans="1:14" hidden="1" x14ac:dyDescent="0.3">
      <c r="A238" s="52">
        <f t="shared" si="3"/>
        <v>235</v>
      </c>
      <c r="B238" s="55"/>
      <c r="C238" s="56"/>
      <c r="D238" s="55"/>
      <c r="E238" s="57"/>
      <c r="F238" s="59">
        <v>5</v>
      </c>
      <c r="G238" s="57"/>
      <c r="H238" s="57"/>
      <c r="I238" s="57"/>
      <c r="J238" s="57">
        <f>Table510[[#This Row],[العدد]]*Table510[[#This Row],[الفئة]]</f>
        <v>0</v>
      </c>
      <c r="K23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38" s="57"/>
      <c r="M238" s="57">
        <f>Table510[[#This Row],[اجمالي المبلغ]]-Table510[[#This Row],[المبلغ المدفوع]]</f>
        <v>0</v>
      </c>
      <c r="N238" s="60"/>
    </row>
    <row r="239" spans="1:14" hidden="1" x14ac:dyDescent="0.3">
      <c r="A239" s="52">
        <f t="shared" si="3"/>
        <v>236</v>
      </c>
      <c r="B239" s="55" t="s">
        <v>85</v>
      </c>
      <c r="C239" s="56">
        <v>45330</v>
      </c>
      <c r="D239" s="55"/>
      <c r="E239" s="57">
        <v>350</v>
      </c>
      <c r="F239" s="59">
        <v>5</v>
      </c>
      <c r="G239" s="57">
        <v>39</v>
      </c>
      <c r="H239" s="62">
        <v>250</v>
      </c>
      <c r="I239" s="57"/>
      <c r="J239" s="57">
        <f>Table510[[#This Row],[العدد]]*Table510[[#This Row],[الفئة]]</f>
        <v>1750</v>
      </c>
      <c r="K23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68000</v>
      </c>
      <c r="L239" s="57"/>
      <c r="M239" s="57">
        <f>Table510[[#This Row],[اجمالي المبلغ]]-Table510[[#This Row],[المبلغ المدفوع]]</f>
        <v>68000</v>
      </c>
      <c r="N239" s="60"/>
    </row>
    <row r="240" spans="1:14" hidden="1" x14ac:dyDescent="0.3">
      <c r="A240" s="52">
        <f t="shared" si="3"/>
        <v>237</v>
      </c>
      <c r="B240" s="55"/>
      <c r="C240" s="56"/>
      <c r="D240" s="55"/>
      <c r="E240" s="57"/>
      <c r="F240" s="59">
        <v>5</v>
      </c>
      <c r="G240" s="57"/>
      <c r="H240" s="57"/>
      <c r="I240" s="57"/>
      <c r="J240" s="57">
        <f>Table510[[#This Row],[العدد]]*Table510[[#This Row],[الفئة]]</f>
        <v>0</v>
      </c>
      <c r="K24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40" s="57"/>
      <c r="M240" s="57">
        <f>Table510[[#This Row],[اجمالي المبلغ]]-Table510[[#This Row],[المبلغ المدفوع]]</f>
        <v>0</v>
      </c>
      <c r="N240" s="60"/>
    </row>
    <row r="241" spans="1:14" hidden="1" x14ac:dyDescent="0.3">
      <c r="A241" s="52">
        <f t="shared" si="3"/>
        <v>238</v>
      </c>
      <c r="B241" s="73" t="s">
        <v>82</v>
      </c>
      <c r="C241" s="56">
        <v>45331</v>
      </c>
      <c r="D241" s="55"/>
      <c r="E241" s="57">
        <v>50</v>
      </c>
      <c r="F241" s="59">
        <v>5</v>
      </c>
      <c r="G241" s="57">
        <v>39</v>
      </c>
      <c r="H241" s="57"/>
      <c r="I241" s="57"/>
      <c r="J241" s="57">
        <f>Table510[[#This Row],[العدد]]*Table510[[#This Row],[الفئة]]</f>
        <v>250</v>
      </c>
      <c r="K24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9750</v>
      </c>
      <c r="L241" s="57"/>
      <c r="M241" s="57">
        <f>Table510[[#This Row],[اجمالي المبلغ]]-Table510[[#This Row],[المبلغ المدفوع]]</f>
        <v>9750</v>
      </c>
      <c r="N241" s="60"/>
    </row>
    <row r="242" spans="1:14" hidden="1" x14ac:dyDescent="0.3">
      <c r="A242" s="52">
        <f t="shared" si="3"/>
        <v>239</v>
      </c>
      <c r="B242" s="55"/>
      <c r="C242" s="56"/>
      <c r="D242" s="55"/>
      <c r="E242" s="57"/>
      <c r="F242" s="59">
        <v>5</v>
      </c>
      <c r="G242" s="57"/>
      <c r="H242" s="57"/>
      <c r="I242" s="57"/>
      <c r="J242" s="57">
        <f>Table510[[#This Row],[العدد]]*Table510[[#This Row],[الفئة]]</f>
        <v>0</v>
      </c>
      <c r="K24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42" s="57"/>
      <c r="M242" s="57">
        <f>Table510[[#This Row],[اجمالي المبلغ]]-Table510[[#This Row],[المبلغ المدفوع]]</f>
        <v>0</v>
      </c>
      <c r="N242" s="60"/>
    </row>
    <row r="243" spans="1:14" hidden="1" x14ac:dyDescent="0.3">
      <c r="A243" s="52">
        <f t="shared" si="3"/>
        <v>240</v>
      </c>
      <c r="B243" s="55" t="s">
        <v>19</v>
      </c>
      <c r="C243" s="56">
        <v>45331</v>
      </c>
      <c r="D243" s="55"/>
      <c r="E243" s="57">
        <v>100</v>
      </c>
      <c r="F243" s="59">
        <v>5</v>
      </c>
      <c r="G243" s="57">
        <v>40</v>
      </c>
      <c r="H243" s="57"/>
      <c r="I243" s="57"/>
      <c r="J243" s="57">
        <f>Table510[[#This Row],[العدد]]*Table510[[#This Row],[الفئة]]</f>
        <v>500</v>
      </c>
      <c r="K24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20000</v>
      </c>
      <c r="L243" s="57"/>
      <c r="M243" s="57">
        <f>Table510[[#This Row],[اجمالي المبلغ]]-Table510[[#This Row],[المبلغ المدفوع]]</f>
        <v>20000</v>
      </c>
      <c r="N243" s="60"/>
    </row>
    <row r="244" spans="1:14" hidden="1" x14ac:dyDescent="0.3">
      <c r="A244" s="52">
        <f>A243+1</f>
        <v>241</v>
      </c>
      <c r="B244" s="55"/>
      <c r="C244" s="56"/>
      <c r="D244" s="55"/>
      <c r="E244" s="57"/>
      <c r="F244" s="59">
        <v>5</v>
      </c>
      <c r="G244" s="57"/>
      <c r="H244" s="57"/>
      <c r="I244" s="57"/>
      <c r="J244" s="57">
        <f>Table510[[#This Row],[العدد]]*Table510[[#This Row],[الفئة]]</f>
        <v>0</v>
      </c>
      <c r="K24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44" s="57"/>
      <c r="M244" s="57">
        <f>Table510[[#This Row],[اجمالي المبلغ]]-Table510[[#This Row],[المبلغ المدفوع]]</f>
        <v>0</v>
      </c>
      <c r="N244" s="60"/>
    </row>
    <row r="245" spans="1:14" hidden="1" x14ac:dyDescent="0.3">
      <c r="A245" s="52">
        <f t="shared" si="3"/>
        <v>242</v>
      </c>
      <c r="B245" s="55" t="s">
        <v>48</v>
      </c>
      <c r="C245" s="56">
        <v>45331</v>
      </c>
      <c r="D245" s="55"/>
      <c r="E245" s="57">
        <v>400</v>
      </c>
      <c r="F245" s="59">
        <v>5</v>
      </c>
      <c r="G245" s="57">
        <v>40</v>
      </c>
      <c r="H245" s="57"/>
      <c r="I245" s="57"/>
      <c r="J245" s="57">
        <f>Table510[[#This Row],[العدد]]*Table510[[#This Row],[الفئة]]</f>
        <v>2000</v>
      </c>
      <c r="K24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80000</v>
      </c>
      <c r="L245" s="57"/>
      <c r="M245" s="57">
        <f>Table510[[#This Row],[اجمالي المبلغ]]-Table510[[#This Row],[المبلغ المدفوع]]</f>
        <v>80000</v>
      </c>
      <c r="N245" s="60"/>
    </row>
    <row r="246" spans="1:14" hidden="1" x14ac:dyDescent="0.3">
      <c r="A246" s="52">
        <f t="shared" si="3"/>
        <v>243</v>
      </c>
      <c r="B246" s="55" t="s">
        <v>48</v>
      </c>
      <c r="C246" s="56">
        <v>45331</v>
      </c>
      <c r="D246" s="55"/>
      <c r="E246" s="57">
        <v>20</v>
      </c>
      <c r="F246" s="59">
        <v>5</v>
      </c>
      <c r="G246" s="57">
        <v>38</v>
      </c>
      <c r="H246" s="57"/>
      <c r="I246" s="57"/>
      <c r="J246" s="57">
        <f>Table510[[#This Row],[العدد]]*Table510[[#This Row],[الفئة]]</f>
        <v>100</v>
      </c>
      <c r="K24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246" s="57"/>
      <c r="M246" s="57">
        <f>Table510[[#This Row],[اجمالي المبلغ]]-Table510[[#This Row],[المبلغ المدفوع]]</f>
        <v>3800</v>
      </c>
      <c r="N246" s="60"/>
    </row>
    <row r="247" spans="1:14" hidden="1" x14ac:dyDescent="0.3">
      <c r="A247" s="52">
        <f t="shared" si="3"/>
        <v>244</v>
      </c>
      <c r="B247" s="55" t="s">
        <v>48</v>
      </c>
      <c r="C247" s="56">
        <v>45331</v>
      </c>
      <c r="D247" s="55"/>
      <c r="E247" s="57">
        <v>50</v>
      </c>
      <c r="F247" s="59">
        <v>5</v>
      </c>
      <c r="G247" s="57">
        <v>38</v>
      </c>
      <c r="H247" s="57"/>
      <c r="I247" s="57"/>
      <c r="J247" s="57">
        <f>Table510[[#This Row],[العدد]]*Table510[[#This Row],[الفئة]]</f>
        <v>250</v>
      </c>
      <c r="K24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47" s="57"/>
      <c r="M247" s="57">
        <f>Table510[[#This Row],[اجمالي المبلغ]]-Table510[[#This Row],[المبلغ المدفوع]]</f>
        <v>9500</v>
      </c>
      <c r="N247" s="60"/>
    </row>
    <row r="248" spans="1:14" hidden="1" x14ac:dyDescent="0.3">
      <c r="A248" s="52">
        <f t="shared" si="3"/>
        <v>245</v>
      </c>
      <c r="B248" s="55"/>
      <c r="C248" s="56"/>
      <c r="D248" s="55"/>
      <c r="E248" s="57"/>
      <c r="F248" s="59">
        <v>5</v>
      </c>
      <c r="G248" s="57"/>
      <c r="H248" s="57"/>
      <c r="I248" s="57"/>
      <c r="J248" s="57">
        <f>Table510[[#This Row],[العدد]]*Table510[[#This Row],[الفئة]]</f>
        <v>0</v>
      </c>
      <c r="K24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48" s="57"/>
      <c r="M248" s="57">
        <f>Table510[[#This Row],[اجمالي المبلغ]]-Table510[[#This Row],[المبلغ المدفوع]]</f>
        <v>0</v>
      </c>
      <c r="N248" s="60"/>
    </row>
    <row r="249" spans="1:14" hidden="1" x14ac:dyDescent="0.3">
      <c r="A249" s="52">
        <f t="shared" si="3"/>
        <v>246</v>
      </c>
      <c r="B249" s="55" t="s">
        <v>69</v>
      </c>
      <c r="C249" s="56">
        <v>45331</v>
      </c>
      <c r="D249" s="55"/>
      <c r="E249" s="57"/>
      <c r="F249" s="59">
        <v>5</v>
      </c>
      <c r="G249" s="57"/>
      <c r="H249" s="57"/>
      <c r="I249" s="57"/>
      <c r="J249" s="57">
        <f>Table510[[#This Row],[العدد]]*Table510[[#This Row],[الفئة]]</f>
        <v>0</v>
      </c>
      <c r="K24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49" s="57"/>
      <c r="M249" s="57">
        <f>Table510[[#This Row],[اجمالي المبلغ]]-Table510[[#This Row],[المبلغ المدفوع]]</f>
        <v>0</v>
      </c>
      <c r="N249" s="60"/>
    </row>
    <row r="250" spans="1:14" hidden="1" x14ac:dyDescent="0.3">
      <c r="A250" s="52">
        <f t="shared" si="3"/>
        <v>247</v>
      </c>
      <c r="B250" s="55"/>
      <c r="C250" s="56"/>
      <c r="D250" s="55"/>
      <c r="E250" s="57"/>
      <c r="F250" s="59">
        <v>5</v>
      </c>
      <c r="G250" s="57"/>
      <c r="H250" s="57"/>
      <c r="I250" s="57"/>
      <c r="J250" s="57">
        <f>Table510[[#This Row],[العدد]]*Table510[[#This Row],[الفئة]]</f>
        <v>0</v>
      </c>
      <c r="K25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50" s="57"/>
      <c r="M250" s="57">
        <f>Table510[[#This Row],[اجمالي المبلغ]]-Table510[[#This Row],[المبلغ المدفوع]]</f>
        <v>0</v>
      </c>
      <c r="N250" s="60"/>
    </row>
    <row r="251" spans="1:14" hidden="1" x14ac:dyDescent="0.3">
      <c r="A251" s="52">
        <f t="shared" si="3"/>
        <v>248</v>
      </c>
      <c r="B251" s="55" t="s">
        <v>19</v>
      </c>
      <c r="C251" s="56">
        <v>45331</v>
      </c>
      <c r="D251" s="55"/>
      <c r="E251" s="57">
        <v>400</v>
      </c>
      <c r="F251" s="59">
        <v>5</v>
      </c>
      <c r="G251" s="57">
        <v>38</v>
      </c>
      <c r="H251" s="57"/>
      <c r="I251" s="57"/>
      <c r="J251" s="57">
        <f>Table510[[#This Row],[العدد]]*Table510[[#This Row],[الفئة]]</f>
        <v>2000</v>
      </c>
      <c r="K25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76000</v>
      </c>
      <c r="L251" s="57"/>
      <c r="M251" s="57">
        <f>Table510[[#This Row],[اجمالي المبلغ]]-Table510[[#This Row],[المبلغ المدفوع]]</f>
        <v>76000</v>
      </c>
      <c r="N251" s="60"/>
    </row>
    <row r="252" spans="1:14" hidden="1" x14ac:dyDescent="0.3">
      <c r="A252" s="52">
        <f t="shared" si="3"/>
        <v>249</v>
      </c>
      <c r="B252" s="55" t="s">
        <v>19</v>
      </c>
      <c r="C252" s="56">
        <v>45331</v>
      </c>
      <c r="D252" s="55"/>
      <c r="E252" s="57">
        <v>50</v>
      </c>
      <c r="F252" s="59">
        <v>5</v>
      </c>
      <c r="G252" s="57">
        <v>38</v>
      </c>
      <c r="H252" s="57"/>
      <c r="I252" s="57"/>
      <c r="J252" s="57">
        <f>Table510[[#This Row],[العدد]]*Table510[[#This Row],[الفئة]]</f>
        <v>250</v>
      </c>
      <c r="K25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52" s="57"/>
      <c r="M252" s="57">
        <f>Table510[[#This Row],[اجمالي المبلغ]]-Table510[[#This Row],[المبلغ المدفوع]]</f>
        <v>9500</v>
      </c>
      <c r="N252" s="60"/>
    </row>
    <row r="253" spans="1:14" hidden="1" x14ac:dyDescent="0.3">
      <c r="A253" s="52">
        <f t="shared" si="3"/>
        <v>250</v>
      </c>
      <c r="B253" s="55"/>
      <c r="C253" s="56"/>
      <c r="D253" s="55"/>
      <c r="E253" s="57"/>
      <c r="F253" s="59">
        <v>5</v>
      </c>
      <c r="G253" s="57"/>
      <c r="H253" s="57"/>
      <c r="I253" s="57"/>
      <c r="J253" s="57">
        <f>Table510[[#This Row],[العدد]]*Table510[[#This Row],[الفئة]]</f>
        <v>0</v>
      </c>
      <c r="K25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53" s="57"/>
      <c r="M253" s="57">
        <f>Table510[[#This Row],[اجمالي المبلغ]]-Table510[[#This Row],[المبلغ المدفوع]]</f>
        <v>0</v>
      </c>
      <c r="N253" s="60"/>
    </row>
    <row r="254" spans="1:14" hidden="1" x14ac:dyDescent="0.3">
      <c r="A254" s="52">
        <f t="shared" si="3"/>
        <v>251</v>
      </c>
      <c r="B254" s="55" t="s">
        <v>90</v>
      </c>
      <c r="C254" s="56">
        <v>45331</v>
      </c>
      <c r="D254" s="55"/>
      <c r="E254" s="57">
        <v>144</v>
      </c>
      <c r="F254" s="59">
        <v>5</v>
      </c>
      <c r="G254" s="57">
        <v>38</v>
      </c>
      <c r="H254" s="57"/>
      <c r="I254" s="57"/>
      <c r="J254" s="57">
        <f>Table510[[#This Row],[العدد]]*Table510[[#This Row],[الفئة]]</f>
        <v>720</v>
      </c>
      <c r="K25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27360</v>
      </c>
      <c r="L254" s="57">
        <f>Table510[[#This Row],[اجمالي المبلغ]]</f>
        <v>27360</v>
      </c>
      <c r="M254" s="57">
        <f>Table510[[#This Row],[اجمالي المبلغ]]-Table510[[#This Row],[المبلغ المدفوع]]</f>
        <v>0</v>
      </c>
      <c r="N254" s="60"/>
    </row>
    <row r="255" spans="1:14" hidden="1" x14ac:dyDescent="0.3">
      <c r="A255" s="52">
        <f t="shared" si="3"/>
        <v>252</v>
      </c>
      <c r="B255" s="55"/>
      <c r="C255" s="56"/>
      <c r="D255" s="55"/>
      <c r="E255" s="57"/>
      <c r="F255" s="59">
        <v>5</v>
      </c>
      <c r="G255" s="57"/>
      <c r="H255" s="57"/>
      <c r="I255" s="57"/>
      <c r="J255" s="57">
        <f>Table510[[#This Row],[العدد]]*Table510[[#This Row],[الفئة]]</f>
        <v>0</v>
      </c>
      <c r="K25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55" s="57"/>
      <c r="M255" s="57">
        <f>Table510[[#This Row],[اجمالي المبلغ]]-Table510[[#This Row],[المبلغ المدفوع]]</f>
        <v>0</v>
      </c>
      <c r="N255" s="60"/>
    </row>
    <row r="256" spans="1:14" hidden="1" x14ac:dyDescent="0.3">
      <c r="A256" s="52">
        <f t="shared" si="3"/>
        <v>253</v>
      </c>
      <c r="B256" s="55" t="s">
        <v>45</v>
      </c>
      <c r="C256" s="56">
        <v>45331</v>
      </c>
      <c r="D256" s="55"/>
      <c r="E256" s="57">
        <v>120</v>
      </c>
      <c r="F256" s="59">
        <v>5</v>
      </c>
      <c r="G256" s="57">
        <v>38</v>
      </c>
      <c r="H256" s="57"/>
      <c r="I256" s="57"/>
      <c r="J256" s="57">
        <f>Table510[[#This Row],[العدد]]*Table510[[#This Row],[الفئة]]</f>
        <v>600</v>
      </c>
      <c r="K25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22800</v>
      </c>
      <c r="L256" s="57"/>
      <c r="M256" s="57">
        <f>Table510[[#This Row],[اجمالي المبلغ]]-Table510[[#This Row],[المبلغ المدفوع]]</f>
        <v>22800</v>
      </c>
      <c r="N256" s="60"/>
    </row>
    <row r="257" spans="1:14" hidden="1" x14ac:dyDescent="0.3">
      <c r="A257" s="52">
        <f t="shared" si="3"/>
        <v>254</v>
      </c>
      <c r="B257" s="55" t="s">
        <v>45</v>
      </c>
      <c r="C257" s="56">
        <v>45331</v>
      </c>
      <c r="D257" s="55"/>
      <c r="E257" s="57">
        <v>40</v>
      </c>
      <c r="F257" s="59">
        <v>5</v>
      </c>
      <c r="G257" s="57">
        <v>39</v>
      </c>
      <c r="H257" s="57"/>
      <c r="I257" s="57"/>
      <c r="J257" s="57">
        <f>Table510[[#This Row],[العدد]]*Table510[[#This Row],[الفئة]]</f>
        <v>200</v>
      </c>
      <c r="K25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7800</v>
      </c>
      <c r="L257" s="57"/>
      <c r="M257" s="57">
        <f>Table510[[#This Row],[اجمالي المبلغ]]-Table510[[#This Row],[المبلغ المدفوع]]</f>
        <v>7800</v>
      </c>
      <c r="N257" s="60"/>
    </row>
    <row r="258" spans="1:14" hidden="1" x14ac:dyDescent="0.3">
      <c r="A258" s="52">
        <f t="shared" si="3"/>
        <v>255</v>
      </c>
      <c r="B258" s="55"/>
      <c r="C258" s="56"/>
      <c r="D258" s="55"/>
      <c r="E258" s="57"/>
      <c r="F258" s="59">
        <v>5</v>
      </c>
      <c r="G258" s="57"/>
      <c r="H258" s="57"/>
      <c r="I258" s="57"/>
      <c r="J258" s="57">
        <f>Table510[[#This Row],[العدد]]*Table510[[#This Row],[الفئة]]</f>
        <v>0</v>
      </c>
      <c r="K25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58" s="57"/>
      <c r="M258" s="57">
        <f>Table510[[#This Row],[اجمالي المبلغ]]-Table510[[#This Row],[المبلغ المدفوع]]</f>
        <v>0</v>
      </c>
      <c r="N258" s="60"/>
    </row>
    <row r="259" spans="1:14" hidden="1" x14ac:dyDescent="0.3">
      <c r="A259" s="52">
        <f t="shared" si="3"/>
        <v>256</v>
      </c>
      <c r="B259" s="55" t="s">
        <v>99</v>
      </c>
      <c r="C259" s="56">
        <v>45333</v>
      </c>
      <c r="D259" s="55"/>
      <c r="E259" s="57">
        <v>25</v>
      </c>
      <c r="F259" s="59">
        <v>5</v>
      </c>
      <c r="G259" s="57">
        <v>40</v>
      </c>
      <c r="H259" s="57"/>
      <c r="I259" s="57"/>
      <c r="J259" s="57">
        <f>Table510[[#This Row],[العدد]]*Table510[[#This Row],[الفئة]]</f>
        <v>125</v>
      </c>
      <c r="K25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5000</v>
      </c>
      <c r="L259" s="57">
        <f>Table510[[#This Row],[اجمالي المبلغ]]</f>
        <v>5000</v>
      </c>
      <c r="M259" s="57">
        <f>Table510[[#This Row],[اجمالي المبلغ]]-Table510[[#This Row],[المبلغ المدفوع]]</f>
        <v>0</v>
      </c>
      <c r="N259" s="60"/>
    </row>
    <row r="260" spans="1:14" hidden="1" x14ac:dyDescent="0.3">
      <c r="A260" s="52">
        <f t="shared" si="3"/>
        <v>257</v>
      </c>
      <c r="B260" s="55" t="s">
        <v>99</v>
      </c>
      <c r="C260" s="56">
        <v>45333</v>
      </c>
      <c r="D260" s="55"/>
      <c r="E260" s="57">
        <v>30</v>
      </c>
      <c r="F260" s="59">
        <v>5</v>
      </c>
      <c r="G260" s="57">
        <v>38</v>
      </c>
      <c r="H260" s="57"/>
      <c r="I260" s="57"/>
      <c r="J260" s="57">
        <f>Table510[[#This Row],[العدد]]*Table510[[#This Row],[الفئة]]</f>
        <v>150</v>
      </c>
      <c r="K26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260" s="57">
        <f>Table510[[#This Row],[اجمالي المبلغ]]</f>
        <v>5700</v>
      </c>
      <c r="M260" s="57">
        <f>Table510[[#This Row],[اجمالي المبلغ]]-Table510[[#This Row],[المبلغ المدفوع]]</f>
        <v>0</v>
      </c>
      <c r="N260" s="60"/>
    </row>
    <row r="261" spans="1:14" hidden="1" x14ac:dyDescent="0.3">
      <c r="A261" s="52">
        <f t="shared" si="3"/>
        <v>258</v>
      </c>
      <c r="B261" s="55"/>
      <c r="C261" s="56"/>
      <c r="D261" s="55"/>
      <c r="E261" s="57"/>
      <c r="F261" s="59">
        <v>5</v>
      </c>
      <c r="G261" s="57"/>
      <c r="H261" s="57"/>
      <c r="I261" s="57"/>
      <c r="J261" s="57">
        <f>Table510[[#This Row],[العدد]]*Table510[[#This Row],[الفئة]]</f>
        <v>0</v>
      </c>
      <c r="K26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1" s="57"/>
      <c r="M261" s="57">
        <f>Table510[[#This Row],[اجمالي المبلغ]]-Table510[[#This Row],[المبلغ المدفوع]]</f>
        <v>0</v>
      </c>
      <c r="N261" s="60"/>
    </row>
    <row r="262" spans="1:14" hidden="1" x14ac:dyDescent="0.3">
      <c r="A262" s="52">
        <f t="shared" ref="A262:A325" si="4">A261+1</f>
        <v>259</v>
      </c>
      <c r="B262" s="55" t="s">
        <v>87</v>
      </c>
      <c r="C262" s="56">
        <v>45337</v>
      </c>
      <c r="D262" s="55"/>
      <c r="E262" s="57">
        <v>300</v>
      </c>
      <c r="F262" s="59">
        <v>5</v>
      </c>
      <c r="G262" s="57">
        <v>38</v>
      </c>
      <c r="H262" s="57"/>
      <c r="I262" s="57"/>
      <c r="J262" s="57">
        <f>Table510[[#This Row],[العدد]]*Table510[[#This Row],[الفئة]]</f>
        <v>1500</v>
      </c>
      <c r="K26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57000</v>
      </c>
      <c r="L262" s="57">
        <f>K262</f>
        <v>57000</v>
      </c>
      <c r="M262" s="57">
        <f>Table510[[#This Row],[اجمالي المبلغ]]-Table510[[#This Row],[المبلغ المدفوع]]</f>
        <v>0</v>
      </c>
      <c r="N262" s="60"/>
    </row>
    <row r="263" spans="1:14" hidden="1" x14ac:dyDescent="0.3">
      <c r="A263" s="52">
        <f t="shared" si="4"/>
        <v>260</v>
      </c>
      <c r="B263" s="55" t="s">
        <v>87</v>
      </c>
      <c r="C263" s="56">
        <v>45337</v>
      </c>
      <c r="D263" s="55"/>
      <c r="E263" s="57">
        <v>60</v>
      </c>
      <c r="F263" s="59">
        <v>5</v>
      </c>
      <c r="G263" s="57">
        <v>38</v>
      </c>
      <c r="H263" s="57"/>
      <c r="I263" s="57"/>
      <c r="J263" s="57">
        <f>Table510[[#This Row],[العدد]]*Table510[[#This Row],[الفئة]]</f>
        <v>300</v>
      </c>
      <c r="K26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11400</v>
      </c>
      <c r="L263" s="57">
        <f>K263</f>
        <v>11400</v>
      </c>
      <c r="M263" s="57">
        <f>Table510[[#This Row],[اجمالي المبلغ]]-Table510[[#This Row],[المبلغ المدفوع]]</f>
        <v>0</v>
      </c>
      <c r="N263" s="60"/>
    </row>
    <row r="264" spans="1:14" hidden="1" x14ac:dyDescent="0.3">
      <c r="A264" s="52">
        <f t="shared" si="4"/>
        <v>261</v>
      </c>
      <c r="B264" s="55"/>
      <c r="C264" s="56"/>
      <c r="D264" s="55"/>
      <c r="E264" s="57"/>
      <c r="F264" s="59">
        <v>5</v>
      </c>
      <c r="G264" s="57"/>
      <c r="H264" s="57"/>
      <c r="I264" s="57"/>
      <c r="J264" s="57">
        <f>Table510[[#This Row],[العدد]]*Table510[[#This Row],[الفئة]]</f>
        <v>0</v>
      </c>
      <c r="K26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4" s="57"/>
      <c r="M264" s="57">
        <f>Table510[[#This Row],[اجمالي المبلغ]]-Table510[[#This Row],[المبلغ المدفوع]]</f>
        <v>0</v>
      </c>
      <c r="N264" s="60"/>
    </row>
    <row r="265" spans="1:14" hidden="1" x14ac:dyDescent="0.3">
      <c r="A265" s="52">
        <f t="shared" si="4"/>
        <v>262</v>
      </c>
      <c r="B265" s="55" t="s">
        <v>66</v>
      </c>
      <c r="C265" s="56">
        <v>45335</v>
      </c>
      <c r="D265" s="55"/>
      <c r="E265" s="69"/>
      <c r="F265" s="59">
        <v>5</v>
      </c>
      <c r="G265" s="69"/>
      <c r="H265" s="69"/>
      <c r="I265" s="69"/>
      <c r="J265" s="69">
        <f>Table510[[#This Row],[العدد]]*Table510[[#This Row],[الفئة]]</f>
        <v>0</v>
      </c>
      <c r="K265" s="69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5" s="69"/>
      <c r="M265" s="69">
        <f>Table510[[#This Row],[اجمالي المبلغ]]-Table510[[#This Row],[المبلغ المدفوع]]</f>
        <v>0</v>
      </c>
      <c r="N265" s="60" t="s">
        <v>68</v>
      </c>
    </row>
    <row r="266" spans="1:14" hidden="1" x14ac:dyDescent="0.3">
      <c r="A266" s="52">
        <f t="shared" si="4"/>
        <v>263</v>
      </c>
      <c r="B266" s="55"/>
      <c r="C266" s="56"/>
      <c r="D266" s="55"/>
      <c r="E266" s="57"/>
      <c r="F266" s="59">
        <v>5</v>
      </c>
      <c r="G266" s="57"/>
      <c r="H266" s="57"/>
      <c r="I266" s="57"/>
      <c r="J266" s="57">
        <f>Table510[[#This Row],[العدد]]*Table510[[#This Row],[الفئة]]</f>
        <v>0</v>
      </c>
      <c r="K26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6" s="57"/>
      <c r="M266" s="57">
        <f>Table510[[#This Row],[اجمالي المبلغ]]-Table510[[#This Row],[المبلغ المدفوع]]</f>
        <v>0</v>
      </c>
      <c r="N266" s="60"/>
    </row>
    <row r="267" spans="1:14" hidden="1" x14ac:dyDescent="0.3">
      <c r="A267" s="52">
        <f t="shared" si="4"/>
        <v>264</v>
      </c>
      <c r="B267" s="55" t="s">
        <v>66</v>
      </c>
      <c r="C267" s="56">
        <v>45337</v>
      </c>
      <c r="D267" s="55"/>
      <c r="E267" s="69"/>
      <c r="F267" s="59">
        <v>5</v>
      </c>
      <c r="G267" s="69"/>
      <c r="H267" s="69"/>
      <c r="I267" s="69"/>
      <c r="J267" s="69">
        <f>Table510[[#This Row],[العدد]]*Table510[[#This Row],[الفئة]]</f>
        <v>0</v>
      </c>
      <c r="K267" s="69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7" s="69"/>
      <c r="M267" s="69">
        <f>Table510[[#This Row],[اجمالي المبلغ]]-Table510[[#This Row],[المبلغ المدفوع]]</f>
        <v>0</v>
      </c>
      <c r="N267" s="60" t="s">
        <v>68</v>
      </c>
    </row>
    <row r="268" spans="1:14" hidden="1" x14ac:dyDescent="0.3">
      <c r="A268" s="52">
        <f t="shared" si="4"/>
        <v>265</v>
      </c>
      <c r="B268" s="55"/>
      <c r="C268" s="56"/>
      <c r="D268" s="55"/>
      <c r="E268" s="57"/>
      <c r="F268" s="59">
        <v>5</v>
      </c>
      <c r="G268" s="57"/>
      <c r="H268" s="57"/>
      <c r="I268" s="57"/>
      <c r="J268" s="57">
        <f>Table510[[#This Row],[العدد]]*Table510[[#This Row],[الفئة]]</f>
        <v>0</v>
      </c>
      <c r="K26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68" s="57"/>
      <c r="M268" s="57">
        <f>Table510[[#This Row],[اجمالي المبلغ]]-Table510[[#This Row],[المبلغ المدفوع]]</f>
        <v>0</v>
      </c>
      <c r="N268" s="60"/>
    </row>
    <row r="269" spans="1:14" hidden="1" x14ac:dyDescent="0.3">
      <c r="A269" s="52">
        <f t="shared" si="4"/>
        <v>266</v>
      </c>
      <c r="B269" s="55" t="s">
        <v>101</v>
      </c>
      <c r="C269" s="56">
        <v>45338</v>
      </c>
      <c r="D269" s="55"/>
      <c r="E269" s="57">
        <v>15</v>
      </c>
      <c r="F269" s="59">
        <v>5</v>
      </c>
      <c r="G269" s="57">
        <v>44</v>
      </c>
      <c r="H269" s="57"/>
      <c r="I269" s="57"/>
      <c r="J269" s="57">
        <f>Table510[[#This Row],[العدد]]*Table510[[#This Row],[الفئة]]</f>
        <v>75</v>
      </c>
      <c r="K26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3300</v>
      </c>
      <c r="L269" s="57">
        <f>Table510[[#This Row],[اجمالي المبلغ]]</f>
        <v>3300</v>
      </c>
      <c r="M269" s="57">
        <f>Table510[[#This Row],[اجمالي المبلغ]]-Table510[[#This Row],[المبلغ المدفوع]]</f>
        <v>0</v>
      </c>
      <c r="N269" s="60"/>
    </row>
    <row r="270" spans="1:14" hidden="1" x14ac:dyDescent="0.3">
      <c r="A270" s="52">
        <f t="shared" si="4"/>
        <v>267</v>
      </c>
      <c r="B270" s="55" t="s">
        <v>101</v>
      </c>
      <c r="C270" s="56">
        <v>45338</v>
      </c>
      <c r="D270" s="55"/>
      <c r="E270" s="57">
        <v>30</v>
      </c>
      <c r="F270" s="59">
        <v>5</v>
      </c>
      <c r="G270" s="57">
        <v>40</v>
      </c>
      <c r="H270" s="57"/>
      <c r="I270" s="57"/>
      <c r="J270" s="57">
        <f>Table510[[#This Row],[العدد]]*Table510[[#This Row],[الفئة]]</f>
        <v>150</v>
      </c>
      <c r="K27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6000</v>
      </c>
      <c r="L270" s="57">
        <f>Table510[[#This Row],[اجمالي المبلغ]]</f>
        <v>6000</v>
      </c>
      <c r="M270" s="57">
        <f>Table510[[#This Row],[اجمالي المبلغ]]-Table510[[#This Row],[المبلغ المدفوع]]</f>
        <v>0</v>
      </c>
      <c r="N270" s="60"/>
    </row>
    <row r="271" spans="1:14" hidden="1" x14ac:dyDescent="0.3">
      <c r="A271" s="52">
        <f t="shared" si="4"/>
        <v>268</v>
      </c>
      <c r="B271" s="55"/>
      <c r="C271" s="56"/>
      <c r="D271" s="55"/>
      <c r="E271" s="57"/>
      <c r="F271" s="59">
        <v>5</v>
      </c>
      <c r="G271" s="57"/>
      <c r="H271" s="57"/>
      <c r="I271" s="57"/>
      <c r="J271" s="57">
        <f>Table510[[#This Row],[العدد]]*Table510[[#This Row],[الفئة]]</f>
        <v>0</v>
      </c>
      <c r="K27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71" s="57"/>
      <c r="M271" s="57">
        <f>Table510[[#This Row],[اجمالي المبلغ]]-Table510[[#This Row],[المبلغ المدفوع]]</f>
        <v>0</v>
      </c>
      <c r="N271" s="60"/>
    </row>
    <row r="272" spans="1:14" hidden="1" x14ac:dyDescent="0.3">
      <c r="A272" s="52">
        <f t="shared" si="4"/>
        <v>269</v>
      </c>
      <c r="B272" s="55" t="s">
        <v>102</v>
      </c>
      <c r="C272" s="56">
        <v>45338</v>
      </c>
      <c r="D272" s="55"/>
      <c r="E272" s="57">
        <v>5</v>
      </c>
      <c r="F272" s="59">
        <v>5</v>
      </c>
      <c r="G272" s="57">
        <v>44</v>
      </c>
      <c r="H272" s="57"/>
      <c r="I272" s="57"/>
      <c r="J272" s="57">
        <f>Table510[[#This Row],[العدد]]*Table510[[#This Row],[الفئة]]</f>
        <v>25</v>
      </c>
      <c r="K27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1100</v>
      </c>
      <c r="L272" s="57">
        <f>Table510[[#This Row],[اجمالي المبلغ]]</f>
        <v>1100</v>
      </c>
      <c r="M272" s="57">
        <f>Table510[[#This Row],[اجمالي المبلغ]]-Table510[[#This Row],[المبلغ المدفوع]]</f>
        <v>0</v>
      </c>
      <c r="N272" s="60"/>
    </row>
    <row r="273" spans="1:14" hidden="1" x14ac:dyDescent="0.3">
      <c r="A273" s="52">
        <f t="shared" si="4"/>
        <v>270</v>
      </c>
      <c r="B273" s="55" t="s">
        <v>102</v>
      </c>
      <c r="C273" s="56">
        <v>45338</v>
      </c>
      <c r="D273" s="55"/>
      <c r="E273" s="57">
        <v>30</v>
      </c>
      <c r="F273" s="59">
        <v>5</v>
      </c>
      <c r="G273" s="57">
        <v>40</v>
      </c>
      <c r="H273" s="57"/>
      <c r="I273" s="57"/>
      <c r="J273" s="57">
        <f>Table510[[#This Row],[العدد]]*Table510[[#This Row],[الفئة]]</f>
        <v>150</v>
      </c>
      <c r="K27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6000</v>
      </c>
      <c r="L273" s="57">
        <f>Table510[[#This Row],[اجمالي المبلغ]]</f>
        <v>6000</v>
      </c>
      <c r="M273" s="57">
        <f>Table510[[#This Row],[اجمالي المبلغ]]-Table510[[#This Row],[المبلغ المدفوع]]</f>
        <v>0</v>
      </c>
      <c r="N273" s="60"/>
    </row>
    <row r="274" spans="1:14" hidden="1" x14ac:dyDescent="0.3">
      <c r="A274" s="52">
        <f t="shared" si="4"/>
        <v>271</v>
      </c>
      <c r="B274" s="55" t="s">
        <v>102</v>
      </c>
      <c r="C274" s="56">
        <v>45338</v>
      </c>
      <c r="D274" s="55"/>
      <c r="E274" s="57">
        <v>50</v>
      </c>
      <c r="F274" s="59">
        <v>5</v>
      </c>
      <c r="G274" s="57">
        <v>38</v>
      </c>
      <c r="H274" s="57"/>
      <c r="I274" s="57"/>
      <c r="J274" s="57">
        <f>Table510[[#This Row],[العدد]]*Table510[[#This Row],[الفئة]]</f>
        <v>250</v>
      </c>
      <c r="K27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74" s="57">
        <f>Table510[[#This Row],[اجمالي المبلغ]]</f>
        <v>9500</v>
      </c>
      <c r="M274" s="57">
        <f>Table510[[#This Row],[اجمالي المبلغ]]-Table510[[#This Row],[المبلغ المدفوع]]</f>
        <v>0</v>
      </c>
      <c r="N274" s="60"/>
    </row>
    <row r="275" spans="1:14" hidden="1" x14ac:dyDescent="0.3">
      <c r="A275" s="52">
        <f t="shared" si="4"/>
        <v>272</v>
      </c>
      <c r="B275" s="55" t="s">
        <v>102</v>
      </c>
      <c r="C275" s="56">
        <v>45338</v>
      </c>
      <c r="D275" s="55"/>
      <c r="E275" s="57">
        <v>96</v>
      </c>
      <c r="F275" s="59">
        <v>5</v>
      </c>
      <c r="G275" s="57">
        <v>40</v>
      </c>
      <c r="H275" s="57"/>
      <c r="I275" s="57"/>
      <c r="J275" s="57">
        <f>Table510[[#This Row],[العدد]]*Table510[[#This Row],[الفئة]]</f>
        <v>480</v>
      </c>
      <c r="K27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19200</v>
      </c>
      <c r="L275" s="57">
        <f>Table510[[#This Row],[اجمالي المبلغ]]</f>
        <v>19200</v>
      </c>
      <c r="M275" s="57">
        <f>Table510[[#This Row],[اجمالي المبلغ]]-Table510[[#This Row],[المبلغ المدفوع]]</f>
        <v>0</v>
      </c>
      <c r="N275" s="60" t="s">
        <v>103</v>
      </c>
    </row>
    <row r="276" spans="1:14" hidden="1" x14ac:dyDescent="0.3">
      <c r="A276" s="52">
        <f t="shared" si="4"/>
        <v>273</v>
      </c>
      <c r="B276" s="55"/>
      <c r="C276" s="56"/>
      <c r="D276" s="55"/>
      <c r="E276" s="57"/>
      <c r="F276" s="59">
        <v>5</v>
      </c>
      <c r="G276" s="57"/>
      <c r="H276" s="57"/>
      <c r="I276" s="57"/>
      <c r="J276" s="57">
        <f>Table510[[#This Row],[العدد]]*Table510[[#This Row],[الفئة]]</f>
        <v>0</v>
      </c>
      <c r="K27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76" s="57"/>
      <c r="M276" s="57">
        <f>Table510[[#This Row],[اجمالي المبلغ]]-Table510[[#This Row],[المبلغ المدفوع]]</f>
        <v>0</v>
      </c>
      <c r="N276" s="60"/>
    </row>
    <row r="277" spans="1:14" hidden="1" x14ac:dyDescent="0.3">
      <c r="A277" s="52">
        <f>A276+1</f>
        <v>274</v>
      </c>
      <c r="B277" s="55" t="s">
        <v>145</v>
      </c>
      <c r="C277" s="56">
        <v>45339</v>
      </c>
      <c r="D277" s="55"/>
      <c r="E277" s="57">
        <v>1</v>
      </c>
      <c r="F277" s="59">
        <v>5</v>
      </c>
      <c r="G277" s="57">
        <v>44</v>
      </c>
      <c r="H277" s="57"/>
      <c r="I277" s="57"/>
      <c r="J277" s="57">
        <f>Table510[[#This Row],[العدد]]*Table510[[#This Row],[الفئة]]</f>
        <v>5</v>
      </c>
      <c r="K27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220</v>
      </c>
      <c r="L277" s="57">
        <f>Table510[[#This Row],[اجمالي المبلغ]]</f>
        <v>220</v>
      </c>
      <c r="M277" s="57">
        <f>Table510[[#This Row],[اجمالي المبلغ]]-Table510[[#This Row],[المبلغ المدفوع]]</f>
        <v>0</v>
      </c>
      <c r="N277" s="60"/>
    </row>
    <row r="278" spans="1:14" hidden="1" x14ac:dyDescent="0.3">
      <c r="A278" s="52">
        <f t="shared" si="4"/>
        <v>275</v>
      </c>
      <c r="B278" s="55" t="s">
        <v>145</v>
      </c>
      <c r="C278" s="56">
        <v>45339</v>
      </c>
      <c r="D278" s="55"/>
      <c r="E278" s="57">
        <v>3</v>
      </c>
      <c r="F278" s="59">
        <v>5</v>
      </c>
      <c r="G278" s="57">
        <v>40</v>
      </c>
      <c r="H278" s="57"/>
      <c r="I278" s="57"/>
      <c r="J278" s="57">
        <f>Table510[[#This Row],[العدد]]*Table510[[#This Row],[الفئة]]</f>
        <v>15</v>
      </c>
      <c r="K27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278" s="57">
        <f>Table510[[#This Row],[اجمالي المبلغ]]</f>
        <v>600</v>
      </c>
      <c r="M278" s="57">
        <f>Table510[[#This Row],[اجمالي المبلغ]]-Table510[[#This Row],[المبلغ المدفوع]]</f>
        <v>0</v>
      </c>
      <c r="N278" s="60"/>
    </row>
    <row r="279" spans="1:14" hidden="1" x14ac:dyDescent="0.3">
      <c r="A279" s="52">
        <f t="shared" si="4"/>
        <v>276</v>
      </c>
      <c r="B279" s="55"/>
      <c r="C279" s="56"/>
      <c r="D279" s="55"/>
      <c r="E279" s="57"/>
      <c r="F279" s="59">
        <v>5</v>
      </c>
      <c r="G279" s="57"/>
      <c r="H279" s="57"/>
      <c r="I279" s="57"/>
      <c r="J279" s="57">
        <f>Table510[[#This Row],[العدد]]*Table510[[#This Row],[الفئة]]</f>
        <v>0</v>
      </c>
      <c r="K27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79" s="57"/>
      <c r="M279" s="57">
        <f>Table510[[#This Row],[اجمالي المبلغ]]-Table510[[#This Row],[المبلغ المدفوع]]</f>
        <v>0</v>
      </c>
      <c r="N279" s="60"/>
    </row>
    <row r="280" spans="1:14" hidden="1" x14ac:dyDescent="0.3">
      <c r="A280" s="52">
        <f t="shared" si="4"/>
        <v>277</v>
      </c>
      <c r="B280" s="55" t="s">
        <v>27</v>
      </c>
      <c r="C280" s="56">
        <v>45339</v>
      </c>
      <c r="D280" s="55"/>
      <c r="E280" s="57">
        <v>70</v>
      </c>
      <c r="F280" s="59">
        <v>5</v>
      </c>
      <c r="G280" s="57">
        <v>40</v>
      </c>
      <c r="H280" s="57"/>
      <c r="I280" s="57"/>
      <c r="J280" s="57">
        <f>Table510[[#This Row],[العدد]]*Table510[[#This Row],[الفئة]]</f>
        <v>350</v>
      </c>
      <c r="K28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14000</v>
      </c>
      <c r="L280" s="57"/>
      <c r="M280" s="57">
        <f>Table510[[#This Row],[اجمالي المبلغ]]-Table510[[#This Row],[المبلغ المدفوع]]</f>
        <v>14000</v>
      </c>
      <c r="N280" s="60"/>
    </row>
    <row r="281" spans="1:14" hidden="1" x14ac:dyDescent="0.3">
      <c r="A281" s="52">
        <f t="shared" si="4"/>
        <v>278</v>
      </c>
      <c r="B281" s="55" t="s">
        <v>27</v>
      </c>
      <c r="C281" s="56">
        <v>45339</v>
      </c>
      <c r="D281" s="55"/>
      <c r="E281" s="57">
        <v>52</v>
      </c>
      <c r="F281" s="59">
        <v>5</v>
      </c>
      <c r="G281" s="57">
        <v>38</v>
      </c>
      <c r="H281" s="57"/>
      <c r="I281" s="57"/>
      <c r="J281" s="57">
        <f>Table510[[#This Row],[العدد]]*Table510[[#This Row],[الفئة]]</f>
        <v>260</v>
      </c>
      <c r="K28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9880</v>
      </c>
      <c r="L281" s="57"/>
      <c r="M281" s="57">
        <f>Table510[[#This Row],[اجمالي المبلغ]]-Table510[[#This Row],[المبلغ المدفوع]]</f>
        <v>9880</v>
      </c>
      <c r="N281" s="60"/>
    </row>
    <row r="282" spans="1:14" hidden="1" x14ac:dyDescent="0.3">
      <c r="A282" s="52">
        <f t="shared" si="4"/>
        <v>279</v>
      </c>
      <c r="B282" s="55" t="s">
        <v>27</v>
      </c>
      <c r="C282" s="56">
        <v>45339</v>
      </c>
      <c r="D282" s="55"/>
      <c r="E282" s="57">
        <v>100</v>
      </c>
      <c r="F282" s="59">
        <v>5</v>
      </c>
      <c r="G282" s="57">
        <v>38</v>
      </c>
      <c r="H282" s="57"/>
      <c r="I282" s="57"/>
      <c r="J282" s="57">
        <f>Table510[[#This Row],[العدد]]*Table510[[#This Row],[الفئة]]</f>
        <v>500</v>
      </c>
      <c r="K28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282" s="57"/>
      <c r="M282" s="57">
        <f>Table510[[#This Row],[اجمالي المبلغ]]-Table510[[#This Row],[المبلغ المدفوع]]</f>
        <v>19000</v>
      </c>
      <c r="N282" s="60"/>
    </row>
    <row r="283" spans="1:14" hidden="1" x14ac:dyDescent="0.3">
      <c r="A283" s="52">
        <f t="shared" si="4"/>
        <v>280</v>
      </c>
      <c r="B283" s="55"/>
      <c r="C283" s="56"/>
      <c r="D283" s="55"/>
      <c r="E283" s="57"/>
      <c r="F283" s="59">
        <v>5</v>
      </c>
      <c r="G283" s="57"/>
      <c r="H283" s="57"/>
      <c r="I283" s="57"/>
      <c r="J283" s="57">
        <f>Table510[[#This Row],[العدد]]*Table510[[#This Row],[الفئة]]</f>
        <v>0</v>
      </c>
      <c r="K28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83" s="57"/>
      <c r="M283" s="57">
        <f>Table510[[#This Row],[اجمالي المبلغ]]-Table510[[#This Row],[المبلغ المدفوع]]</f>
        <v>0</v>
      </c>
      <c r="N283" s="60"/>
    </row>
    <row r="284" spans="1:14" hidden="1" x14ac:dyDescent="0.3">
      <c r="A284" s="52">
        <f t="shared" si="4"/>
        <v>281</v>
      </c>
      <c r="B284" s="55" t="s">
        <v>130</v>
      </c>
      <c r="C284" s="56">
        <v>45339</v>
      </c>
      <c r="D284" s="55"/>
      <c r="E284" s="57">
        <v>150</v>
      </c>
      <c r="F284" s="59">
        <v>5</v>
      </c>
      <c r="G284" s="57">
        <v>40</v>
      </c>
      <c r="H284" s="57"/>
      <c r="I284" s="57"/>
      <c r="J284" s="57">
        <f>Table510[[#This Row],[العدد]]*Table510[[#This Row],[الفئة]]</f>
        <v>750</v>
      </c>
      <c r="K28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30000</v>
      </c>
      <c r="L284" s="57"/>
      <c r="M284" s="57">
        <f>Table510[[#This Row],[اجمالي المبلغ]]-Table510[[#This Row],[المبلغ المدفوع]]</f>
        <v>30000</v>
      </c>
      <c r="N284" s="60"/>
    </row>
    <row r="285" spans="1:14" hidden="1" x14ac:dyDescent="0.3">
      <c r="A285" s="52">
        <f t="shared" si="4"/>
        <v>282</v>
      </c>
      <c r="B285" s="55" t="s">
        <v>130</v>
      </c>
      <c r="C285" s="56">
        <v>45339</v>
      </c>
      <c r="D285" s="55"/>
      <c r="E285" s="57">
        <v>50</v>
      </c>
      <c r="F285" s="59">
        <v>5</v>
      </c>
      <c r="G285" s="57">
        <v>38</v>
      </c>
      <c r="H285" s="57"/>
      <c r="I285" s="57"/>
      <c r="J285" s="57">
        <f>Table510[[#This Row],[العدد]]*Table510[[#This Row],[الفئة]]</f>
        <v>250</v>
      </c>
      <c r="K28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85" s="57"/>
      <c r="M285" s="57">
        <f>Table510[[#This Row],[اجمالي المبلغ]]-Table510[[#This Row],[المبلغ المدفوع]]</f>
        <v>9500</v>
      </c>
      <c r="N285" s="60"/>
    </row>
    <row r="286" spans="1:14" hidden="1" x14ac:dyDescent="0.3">
      <c r="A286" s="52">
        <f t="shared" si="4"/>
        <v>283</v>
      </c>
      <c r="B286" s="55" t="s">
        <v>130</v>
      </c>
      <c r="C286" s="56">
        <v>45339</v>
      </c>
      <c r="D286" s="55"/>
      <c r="E286" s="57">
        <v>100</v>
      </c>
      <c r="F286" s="59">
        <v>5</v>
      </c>
      <c r="G286" s="57">
        <v>38</v>
      </c>
      <c r="H286" s="57"/>
      <c r="I286" s="57"/>
      <c r="J286" s="57">
        <f>Table510[[#This Row],[العدد]]*Table510[[#This Row],[الفئة]]</f>
        <v>500</v>
      </c>
      <c r="K28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286" s="57"/>
      <c r="M286" s="57">
        <f>Table510[[#This Row],[اجمالي المبلغ]]-Table510[[#This Row],[المبلغ المدفوع]]</f>
        <v>19000</v>
      </c>
      <c r="N286" s="60"/>
    </row>
    <row r="287" spans="1:14" hidden="1" x14ac:dyDescent="0.3">
      <c r="A287" s="52">
        <f t="shared" si="4"/>
        <v>284</v>
      </c>
      <c r="B287" s="55"/>
      <c r="C287" s="56"/>
      <c r="D287" s="55"/>
      <c r="E287" s="57"/>
      <c r="F287" s="59">
        <v>5</v>
      </c>
      <c r="G287" s="57"/>
      <c r="H287" s="57"/>
      <c r="I287" s="57"/>
      <c r="J287" s="57">
        <f>Table510[[#This Row],[العدد]]*Table510[[#This Row],[الفئة]]</f>
        <v>0</v>
      </c>
      <c r="K28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87" s="57"/>
      <c r="M287" s="57">
        <f>Table510[[#This Row],[اجمالي المبلغ]]-Table510[[#This Row],[المبلغ المدفوع]]</f>
        <v>0</v>
      </c>
      <c r="N287" s="60"/>
    </row>
    <row r="288" spans="1:14" hidden="1" x14ac:dyDescent="0.3">
      <c r="A288" s="52">
        <f t="shared" si="4"/>
        <v>285</v>
      </c>
      <c r="B288" s="55" t="s">
        <v>41</v>
      </c>
      <c r="C288" s="56">
        <v>45339</v>
      </c>
      <c r="D288" s="55"/>
      <c r="E288" s="57">
        <v>202</v>
      </c>
      <c r="F288" s="59">
        <v>5</v>
      </c>
      <c r="G288" s="57">
        <v>40</v>
      </c>
      <c r="H288" s="57"/>
      <c r="I288" s="57"/>
      <c r="J288" s="57">
        <f>Table510[[#This Row],[العدد]]*Table510[[#This Row],[الفئة]]</f>
        <v>1010</v>
      </c>
      <c r="K28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40400</v>
      </c>
      <c r="L288" s="57"/>
      <c r="M288" s="57">
        <f>Table510[[#This Row],[اجمالي المبلغ]]-Table510[[#This Row],[المبلغ المدفوع]]</f>
        <v>40400</v>
      </c>
      <c r="N288" s="60"/>
    </row>
    <row r="289" spans="1:14" hidden="1" x14ac:dyDescent="0.3">
      <c r="A289" s="52">
        <f t="shared" si="4"/>
        <v>286</v>
      </c>
      <c r="B289" s="55" t="s">
        <v>41</v>
      </c>
      <c r="C289" s="56">
        <v>45339</v>
      </c>
      <c r="D289" s="55"/>
      <c r="E289" s="57">
        <v>200</v>
      </c>
      <c r="F289" s="59">
        <v>5</v>
      </c>
      <c r="G289" s="57">
        <v>38</v>
      </c>
      <c r="H289" s="57"/>
      <c r="I289" s="57"/>
      <c r="J289" s="57">
        <f>Table510[[#This Row],[العدد]]*Table510[[#This Row],[الفئة]]</f>
        <v>1000</v>
      </c>
      <c r="K289" s="62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</v>
      </c>
      <c r="L289" s="57"/>
      <c r="M289" s="57">
        <f>Table510[[#This Row],[اجمالي المبلغ]]-Table510[[#This Row],[المبلغ المدفوع]]</f>
        <v>38000</v>
      </c>
      <c r="N289" s="60"/>
    </row>
    <row r="290" spans="1:14" hidden="1" x14ac:dyDescent="0.3">
      <c r="A290" s="52">
        <f t="shared" si="4"/>
        <v>287</v>
      </c>
      <c r="B290" s="55" t="s">
        <v>41</v>
      </c>
      <c r="C290" s="56">
        <v>45339</v>
      </c>
      <c r="D290" s="55"/>
      <c r="E290" s="57">
        <v>50</v>
      </c>
      <c r="F290" s="59">
        <v>5</v>
      </c>
      <c r="G290" s="57">
        <v>38</v>
      </c>
      <c r="H290" s="57"/>
      <c r="I290" s="57"/>
      <c r="J290" s="57">
        <f>Table510[[#This Row],[العدد]]*Table510[[#This Row],[الفئة]]</f>
        <v>250</v>
      </c>
      <c r="K29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290" s="57"/>
      <c r="M290" s="57">
        <f>Table510[[#This Row],[اجمالي المبلغ]]-Table510[[#This Row],[المبلغ المدفوع]]</f>
        <v>9500</v>
      </c>
      <c r="N290" s="60"/>
    </row>
    <row r="291" spans="1:14" hidden="1" x14ac:dyDescent="0.3">
      <c r="A291" s="52">
        <f t="shared" si="4"/>
        <v>288</v>
      </c>
      <c r="B291" s="55"/>
      <c r="C291" s="56"/>
      <c r="D291" s="55"/>
      <c r="E291" s="57"/>
      <c r="F291" s="59">
        <v>5</v>
      </c>
      <c r="G291" s="57"/>
      <c r="H291" s="57"/>
      <c r="I291" s="57"/>
      <c r="J291" s="57">
        <f>Table510[[#This Row],[العدد]]*Table510[[#This Row],[الفئة]]</f>
        <v>0</v>
      </c>
      <c r="K29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91" s="57"/>
      <c r="M291" s="57">
        <f>Table510[[#This Row],[اجمالي المبلغ]]-Table510[[#This Row],[المبلغ المدفوع]]</f>
        <v>0</v>
      </c>
      <c r="N291" s="60"/>
    </row>
    <row r="292" spans="1:14" hidden="1" x14ac:dyDescent="0.3">
      <c r="A292" s="52">
        <f t="shared" si="4"/>
        <v>289</v>
      </c>
      <c r="B292" s="55" t="s">
        <v>29</v>
      </c>
      <c r="C292" s="56">
        <v>45339</v>
      </c>
      <c r="D292" s="55"/>
      <c r="E292" s="57">
        <v>100</v>
      </c>
      <c r="F292" s="59">
        <v>5</v>
      </c>
      <c r="G292" s="57">
        <v>38</v>
      </c>
      <c r="H292" s="57"/>
      <c r="I292" s="57"/>
      <c r="J292" s="57">
        <f>Table510[[#This Row],[العدد]]*Table510[[#This Row],[الفئة]]</f>
        <v>500</v>
      </c>
      <c r="K29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19000</v>
      </c>
      <c r="L292" s="57"/>
      <c r="M292" s="57">
        <f>Table510[[#This Row],[اجمالي المبلغ]]-Table510[[#This Row],[المبلغ المدفوع]]</f>
        <v>19000</v>
      </c>
      <c r="N292" s="60"/>
    </row>
    <row r="293" spans="1:14" hidden="1" x14ac:dyDescent="0.3">
      <c r="A293" s="52">
        <f>A292+1</f>
        <v>290</v>
      </c>
      <c r="B293" s="55" t="s">
        <v>29</v>
      </c>
      <c r="C293" s="56">
        <v>45339</v>
      </c>
      <c r="D293" s="55"/>
      <c r="E293" s="58">
        <v>30</v>
      </c>
      <c r="F293" s="59">
        <v>5</v>
      </c>
      <c r="G293" s="57">
        <v>38</v>
      </c>
      <c r="H293" s="57"/>
      <c r="I293" s="57"/>
      <c r="J293" s="57">
        <f>Table510[[#This Row],[العدد]]*Table510[[#This Row],[الفئة]]</f>
        <v>150</v>
      </c>
      <c r="K29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293" s="57"/>
      <c r="M293" s="57">
        <f>Table510[[#This Row],[اجمالي المبلغ]]-Table510[[#This Row],[المبلغ المدفوع]]</f>
        <v>5700</v>
      </c>
      <c r="N293" s="60"/>
    </row>
    <row r="294" spans="1:14" hidden="1" x14ac:dyDescent="0.3">
      <c r="A294" s="52">
        <f>A293+1</f>
        <v>291</v>
      </c>
      <c r="B294" s="55" t="s">
        <v>29</v>
      </c>
      <c r="C294" s="56">
        <v>45339</v>
      </c>
      <c r="D294" s="55"/>
      <c r="E294" s="57">
        <v>20</v>
      </c>
      <c r="F294" s="59">
        <v>1.6</v>
      </c>
      <c r="G294" s="57">
        <v>38</v>
      </c>
      <c r="H294" s="57"/>
      <c r="I294" s="57"/>
      <c r="J294" s="57">
        <f>Table510[[#This Row],[العدد]]*Table510[[#This Row],[الفئة]]</f>
        <v>32</v>
      </c>
      <c r="K29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1520</v>
      </c>
      <c r="L294" s="57"/>
      <c r="M294" s="57">
        <f>Table510[[#This Row],[اجمالي المبلغ]]-Table510[[#This Row],[المبلغ المدفوع]]</f>
        <v>1520</v>
      </c>
      <c r="N294" s="60"/>
    </row>
    <row r="295" spans="1:14" hidden="1" x14ac:dyDescent="0.3">
      <c r="A295" s="52">
        <f>A294+1</f>
        <v>292</v>
      </c>
      <c r="B295" s="55" t="s">
        <v>29</v>
      </c>
      <c r="C295" s="56">
        <v>45339</v>
      </c>
      <c r="D295" s="55"/>
      <c r="E295" s="57">
        <v>50</v>
      </c>
      <c r="F295" s="59">
        <v>0.8</v>
      </c>
      <c r="G295" s="57">
        <v>38</v>
      </c>
      <c r="H295" s="57"/>
      <c r="I295" s="57"/>
      <c r="J295" s="57">
        <f>Table510[[#This Row],[العدد]]*Table510[[#This Row],[الفئة]]</f>
        <v>40</v>
      </c>
      <c r="K29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</v>
      </c>
      <c r="L295" s="57"/>
      <c r="M295" s="57">
        <f>Table510[[#This Row],[اجمالي المبلغ]]-Table510[[#This Row],[المبلغ المدفوع]]</f>
        <v>1900</v>
      </c>
      <c r="N295" s="60"/>
    </row>
    <row r="296" spans="1:14" hidden="1" x14ac:dyDescent="0.3">
      <c r="A296" s="52">
        <f>A295+1</f>
        <v>293</v>
      </c>
      <c r="B296" s="55" t="s">
        <v>29</v>
      </c>
      <c r="C296" s="56">
        <v>45339</v>
      </c>
      <c r="D296" s="55"/>
      <c r="E296" s="57"/>
      <c r="F296" s="59"/>
      <c r="G296" s="57"/>
      <c r="H296" s="57"/>
      <c r="I296" s="57"/>
      <c r="J296" s="57">
        <f>Table510[[#This Row],[العدد]]*Table510[[#This Row],[الفئة]]</f>
        <v>0</v>
      </c>
      <c r="K29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96" s="57"/>
      <c r="M296" s="57">
        <f>Table510[[#This Row],[اجمالي المبلغ]]-Table510[[#This Row],[المبلغ المدفوع]]</f>
        <v>0</v>
      </c>
      <c r="N296" s="60"/>
    </row>
    <row r="297" spans="1:14" hidden="1" x14ac:dyDescent="0.3">
      <c r="A297" s="52">
        <f t="shared" si="4"/>
        <v>294</v>
      </c>
      <c r="B297" s="55"/>
      <c r="C297" s="56"/>
      <c r="D297" s="55"/>
      <c r="E297" s="57"/>
      <c r="F297" s="59"/>
      <c r="G297" s="57"/>
      <c r="H297" s="57"/>
      <c r="I297" s="57"/>
      <c r="J297" s="57">
        <f>Table510[[#This Row],[العدد]]*Table510[[#This Row],[الفئة]]</f>
        <v>0</v>
      </c>
      <c r="K29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97" s="57"/>
      <c r="M297" s="57">
        <f>Table510[[#This Row],[اجمالي المبلغ]]-Table510[[#This Row],[المبلغ المدفوع]]</f>
        <v>0</v>
      </c>
      <c r="N297" s="60"/>
    </row>
    <row r="298" spans="1:14" hidden="1" x14ac:dyDescent="0.3">
      <c r="A298" s="52">
        <f t="shared" si="4"/>
        <v>295</v>
      </c>
      <c r="B298" s="55" t="s">
        <v>104</v>
      </c>
      <c r="C298" s="56">
        <v>45339</v>
      </c>
      <c r="D298" s="55">
        <v>301</v>
      </c>
      <c r="E298" s="57">
        <v>230</v>
      </c>
      <c r="F298" s="59">
        <v>5</v>
      </c>
      <c r="G298" s="57">
        <v>40</v>
      </c>
      <c r="H298" s="57"/>
      <c r="I298" s="57"/>
      <c r="J298" s="57">
        <f>Table510[[#This Row],[العدد]]*Table510[[#This Row],[الفئة]]</f>
        <v>1150</v>
      </c>
      <c r="K29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46000</v>
      </c>
      <c r="L298" s="57"/>
      <c r="M298" s="57">
        <f>Table510[[#This Row],[اجمالي المبلغ]]-Table510[[#This Row],[المبلغ المدفوع]]</f>
        <v>46000</v>
      </c>
      <c r="N298" s="60"/>
    </row>
    <row r="299" spans="1:14" hidden="1" x14ac:dyDescent="0.3">
      <c r="A299" s="52">
        <f t="shared" si="4"/>
        <v>296</v>
      </c>
      <c r="B299" s="55" t="s">
        <v>104</v>
      </c>
      <c r="C299" s="56">
        <v>45339</v>
      </c>
      <c r="D299" s="55">
        <v>301</v>
      </c>
      <c r="E299" s="57">
        <v>2</v>
      </c>
      <c r="F299" s="59">
        <v>5</v>
      </c>
      <c r="G299" s="62"/>
      <c r="H299" s="57"/>
      <c r="I299" s="57"/>
      <c r="J299" s="57">
        <f>Table510[[#This Row],[العدد]]*Table510[[#This Row],[الفئة]]</f>
        <v>10</v>
      </c>
      <c r="K29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299" s="57"/>
      <c r="M299" s="57">
        <f>Table510[[#This Row],[اجمالي المبلغ]]-Table510[[#This Row],[المبلغ المدفوع]]</f>
        <v>0</v>
      </c>
      <c r="N299" s="60"/>
    </row>
    <row r="300" spans="1:14" hidden="1" x14ac:dyDescent="0.3">
      <c r="A300" s="52">
        <f t="shared" si="4"/>
        <v>297</v>
      </c>
      <c r="B300" s="55"/>
      <c r="C300" s="56"/>
      <c r="D300" s="55"/>
      <c r="E300" s="57"/>
      <c r="F300" s="59"/>
      <c r="G300" s="57"/>
      <c r="H300" s="57"/>
      <c r="I300" s="57"/>
      <c r="J300" s="57">
        <f>Table510[[#This Row],[العدد]]*Table510[[#This Row],[الفئة]]</f>
        <v>0</v>
      </c>
      <c r="K30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00" s="57"/>
      <c r="M300" s="57">
        <f>Table510[[#This Row],[اجمالي المبلغ]]-Table510[[#This Row],[المبلغ المدفوع]]</f>
        <v>0</v>
      </c>
      <c r="N300" s="60"/>
    </row>
    <row r="301" spans="1:14" hidden="1" x14ac:dyDescent="0.3">
      <c r="A301" s="52">
        <f t="shared" si="4"/>
        <v>298</v>
      </c>
      <c r="B301" s="55" t="s">
        <v>19</v>
      </c>
      <c r="C301" s="56">
        <v>45339</v>
      </c>
      <c r="D301" s="55">
        <v>302</v>
      </c>
      <c r="E301" s="57">
        <v>365</v>
      </c>
      <c r="F301" s="59">
        <v>5</v>
      </c>
      <c r="G301" s="57">
        <v>40</v>
      </c>
      <c r="H301" s="57"/>
      <c r="I301" s="57"/>
      <c r="J301" s="57">
        <f>Table510[[#This Row],[العدد]]*Table510[[#This Row],[الفئة]]</f>
        <v>1825</v>
      </c>
      <c r="K30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73000</v>
      </c>
      <c r="L301" s="57"/>
      <c r="M301" s="57">
        <f>Table510[[#This Row],[اجمالي المبلغ]]-Table510[[#This Row],[المبلغ المدفوع]]</f>
        <v>73000</v>
      </c>
      <c r="N301" s="60"/>
    </row>
    <row r="302" spans="1:14" hidden="1" x14ac:dyDescent="0.3">
      <c r="A302" s="52">
        <f t="shared" si="4"/>
        <v>299</v>
      </c>
      <c r="B302" s="55" t="s">
        <v>19</v>
      </c>
      <c r="C302" s="56">
        <v>45339</v>
      </c>
      <c r="D302" s="55">
        <v>302</v>
      </c>
      <c r="E302" s="57">
        <v>50</v>
      </c>
      <c r="F302" s="59">
        <v>1.6</v>
      </c>
      <c r="G302" s="57">
        <v>38</v>
      </c>
      <c r="H302" s="57"/>
      <c r="I302" s="57"/>
      <c r="J302" s="57">
        <f>Table510[[#This Row],[العدد]]*Table510[[#This Row],[الفئة]]</f>
        <v>80</v>
      </c>
      <c r="K30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02" s="57"/>
      <c r="M302" s="57">
        <f>Table510[[#This Row],[اجمالي المبلغ]]-Table510[[#This Row],[المبلغ المدفوع]]</f>
        <v>3800</v>
      </c>
      <c r="N302" s="60"/>
    </row>
    <row r="303" spans="1:14" hidden="1" x14ac:dyDescent="0.3">
      <c r="A303" s="52">
        <f t="shared" si="4"/>
        <v>300</v>
      </c>
      <c r="B303" s="55" t="s">
        <v>19</v>
      </c>
      <c r="C303" s="56">
        <v>45339</v>
      </c>
      <c r="D303" s="55">
        <v>302</v>
      </c>
      <c r="E303" s="57">
        <v>100</v>
      </c>
      <c r="F303" s="59">
        <v>0.8</v>
      </c>
      <c r="G303" s="57">
        <v>38</v>
      </c>
      <c r="H303" s="57"/>
      <c r="I303" s="57"/>
      <c r="J303" s="57">
        <f>Table510[[#This Row],[العدد]]*Table510[[#This Row],[الفئة]]</f>
        <v>80</v>
      </c>
      <c r="K30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03" s="57"/>
      <c r="M303" s="57">
        <f>Table510[[#This Row],[اجمالي المبلغ]]-Table510[[#This Row],[المبلغ المدفوع]]</f>
        <v>3800</v>
      </c>
      <c r="N303" s="60"/>
    </row>
    <row r="304" spans="1:14" hidden="1" x14ac:dyDescent="0.3">
      <c r="A304" s="52">
        <f t="shared" si="4"/>
        <v>301</v>
      </c>
      <c r="B304" s="55"/>
      <c r="C304" s="56"/>
      <c r="D304" s="55"/>
      <c r="E304" s="57"/>
      <c r="F304" s="59"/>
      <c r="G304" s="57"/>
      <c r="H304" s="57"/>
      <c r="I304" s="57"/>
      <c r="J304" s="57">
        <f>Table510[[#This Row],[العدد]]*Table510[[#This Row],[الفئة]]</f>
        <v>0</v>
      </c>
      <c r="K30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04" s="57"/>
      <c r="M304" s="57">
        <f>Table510[[#This Row],[اجمالي المبلغ]]-Table510[[#This Row],[المبلغ المدفوع]]</f>
        <v>0</v>
      </c>
      <c r="N304" s="60"/>
    </row>
    <row r="305" spans="1:14" hidden="1" x14ac:dyDescent="0.3">
      <c r="A305" s="52">
        <f t="shared" si="4"/>
        <v>302</v>
      </c>
      <c r="B305" s="55" t="s">
        <v>105</v>
      </c>
      <c r="C305" s="56">
        <v>45339</v>
      </c>
      <c r="D305" s="55">
        <v>303</v>
      </c>
      <c r="E305" s="57">
        <v>250</v>
      </c>
      <c r="F305" s="59">
        <v>1.6</v>
      </c>
      <c r="G305" s="57">
        <v>37</v>
      </c>
      <c r="H305" s="57"/>
      <c r="I305" s="57"/>
      <c r="J305" s="57">
        <f>Table510[[#This Row],[العدد]]*Table510[[#This Row],[الفئة]]</f>
        <v>400</v>
      </c>
      <c r="K30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18500</v>
      </c>
      <c r="L305" s="57">
        <v>10000</v>
      </c>
      <c r="M305" s="57">
        <f>Table510[[#This Row],[اجمالي المبلغ]]-Table510[[#This Row],[المبلغ المدفوع]]</f>
        <v>8500</v>
      </c>
      <c r="N305" s="60"/>
    </row>
    <row r="306" spans="1:14" hidden="1" x14ac:dyDescent="0.3">
      <c r="A306" s="52">
        <f t="shared" si="4"/>
        <v>303</v>
      </c>
      <c r="B306" s="55" t="s">
        <v>105</v>
      </c>
      <c r="C306" s="56">
        <v>45339</v>
      </c>
      <c r="D306" s="55">
        <v>303</v>
      </c>
      <c r="E306" s="57">
        <v>500</v>
      </c>
      <c r="F306" s="59">
        <v>0.8</v>
      </c>
      <c r="G306" s="57">
        <v>37</v>
      </c>
      <c r="H306" s="57"/>
      <c r="I306" s="57"/>
      <c r="J306" s="57">
        <f>Table510[[#This Row],[العدد]]*Table510[[#This Row],[الفئة]]</f>
        <v>400</v>
      </c>
      <c r="K30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18500</v>
      </c>
      <c r="L306" s="57">
        <v>10000</v>
      </c>
      <c r="M306" s="57">
        <f>Table510[[#This Row],[اجمالي المبلغ]]-Table510[[#This Row],[المبلغ المدفوع]]</f>
        <v>8500</v>
      </c>
      <c r="N306" s="60"/>
    </row>
    <row r="307" spans="1:14" hidden="1" x14ac:dyDescent="0.3">
      <c r="A307" s="52">
        <f t="shared" si="4"/>
        <v>304</v>
      </c>
      <c r="B307" s="55"/>
      <c r="C307" s="56"/>
      <c r="D307" s="55"/>
      <c r="E307" s="57"/>
      <c r="F307" s="59"/>
      <c r="G307" s="57"/>
      <c r="H307" s="57"/>
      <c r="I307" s="57"/>
      <c r="J307" s="57">
        <f>Table510[[#This Row],[العدد]]*Table510[[#This Row],[الفئة]]</f>
        <v>0</v>
      </c>
      <c r="K30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07" s="57"/>
      <c r="M307" s="57">
        <f>Table510[[#This Row],[اجمالي المبلغ]]-Table510[[#This Row],[المبلغ المدفوع]]</f>
        <v>0</v>
      </c>
      <c r="N307" s="60"/>
    </row>
    <row r="308" spans="1:14" hidden="1" x14ac:dyDescent="0.3">
      <c r="A308" s="52">
        <f t="shared" si="4"/>
        <v>305</v>
      </c>
      <c r="B308" s="55" t="s">
        <v>106</v>
      </c>
      <c r="C308" s="56">
        <v>45341</v>
      </c>
      <c r="D308" s="55">
        <v>304</v>
      </c>
      <c r="E308" s="57">
        <v>200</v>
      </c>
      <c r="F308" s="59">
        <v>5</v>
      </c>
      <c r="G308" s="57">
        <v>40</v>
      </c>
      <c r="H308" s="57"/>
      <c r="I308" s="57"/>
      <c r="J308" s="57">
        <f>Table510[[#This Row],[العدد]]*Table510[[#This Row],[الفئة]]</f>
        <v>1000</v>
      </c>
      <c r="K30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308" s="57"/>
      <c r="M308" s="57">
        <f>Table510[[#This Row],[اجمالي المبلغ]]-Table510[[#This Row],[المبلغ المدفوع]]</f>
        <v>40000</v>
      </c>
      <c r="N308" s="60"/>
    </row>
    <row r="309" spans="1:14" hidden="1" x14ac:dyDescent="0.3">
      <c r="A309" s="52">
        <f t="shared" si="4"/>
        <v>306</v>
      </c>
      <c r="B309" s="55" t="s">
        <v>106</v>
      </c>
      <c r="C309" s="56">
        <v>45341</v>
      </c>
      <c r="D309" s="55">
        <v>304</v>
      </c>
      <c r="E309" s="57">
        <v>50</v>
      </c>
      <c r="F309" s="59">
        <v>5</v>
      </c>
      <c r="G309" s="57">
        <v>44</v>
      </c>
      <c r="H309" s="57"/>
      <c r="I309" s="57"/>
      <c r="J309" s="57">
        <f>Table510[[#This Row],[العدد]]*Table510[[#This Row],[الفئة]]</f>
        <v>250</v>
      </c>
      <c r="K30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11000</v>
      </c>
      <c r="L309" s="57"/>
      <c r="M309" s="57">
        <f>Table510[[#This Row],[اجمالي المبلغ]]-Table510[[#This Row],[المبلغ المدفوع]]</f>
        <v>11000</v>
      </c>
      <c r="N309" s="60"/>
    </row>
    <row r="310" spans="1:14" hidden="1" x14ac:dyDescent="0.3">
      <c r="A310" s="52">
        <f t="shared" si="4"/>
        <v>307</v>
      </c>
      <c r="B310" s="55" t="s">
        <v>106</v>
      </c>
      <c r="C310" s="56">
        <v>45341</v>
      </c>
      <c r="D310" s="55">
        <v>304</v>
      </c>
      <c r="E310" s="57">
        <v>50</v>
      </c>
      <c r="F310" s="59">
        <v>1.6</v>
      </c>
      <c r="G310" s="57">
        <v>38</v>
      </c>
      <c r="H310" s="57"/>
      <c r="I310" s="57"/>
      <c r="J310" s="57">
        <f>Table510[[#This Row],[العدد]]*Table510[[#This Row],[الفئة]]</f>
        <v>80</v>
      </c>
      <c r="K31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10" s="57"/>
      <c r="M310" s="57">
        <f>Table510[[#This Row],[اجمالي المبلغ]]-Table510[[#This Row],[المبلغ المدفوع]]</f>
        <v>3800</v>
      </c>
      <c r="N310" s="60"/>
    </row>
    <row r="311" spans="1:14" hidden="1" x14ac:dyDescent="0.3">
      <c r="A311" s="52">
        <f t="shared" si="4"/>
        <v>308</v>
      </c>
      <c r="B311" s="55" t="s">
        <v>106</v>
      </c>
      <c r="C311" s="56">
        <v>45341</v>
      </c>
      <c r="D311" s="55">
        <v>304</v>
      </c>
      <c r="E311" s="57">
        <v>250</v>
      </c>
      <c r="F311" s="59">
        <v>0.8</v>
      </c>
      <c r="G311" s="57">
        <v>38</v>
      </c>
      <c r="H311" s="57"/>
      <c r="I311" s="57"/>
      <c r="J311" s="57">
        <f>Table510[[#This Row],[العدد]]*Table510[[#This Row],[الفئة]]</f>
        <v>200</v>
      </c>
      <c r="K31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311" s="57"/>
      <c r="M311" s="57">
        <f>Table510[[#This Row],[اجمالي المبلغ]]-Table510[[#This Row],[المبلغ المدفوع]]</f>
        <v>9500</v>
      </c>
      <c r="N311" s="60"/>
    </row>
    <row r="312" spans="1:14" hidden="1" x14ac:dyDescent="0.3">
      <c r="A312" s="52">
        <f t="shared" si="4"/>
        <v>309</v>
      </c>
      <c r="B312" s="55"/>
      <c r="C312" s="56"/>
      <c r="D312" s="55"/>
      <c r="E312" s="57"/>
      <c r="F312" s="59"/>
      <c r="G312" s="57"/>
      <c r="H312" s="57"/>
      <c r="I312" s="57"/>
      <c r="J312" s="57">
        <f>Table510[[#This Row],[العدد]]*Table510[[#This Row],[الفئة]]</f>
        <v>0</v>
      </c>
      <c r="K31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12" s="57"/>
      <c r="M312" s="57">
        <f>Table510[[#This Row],[اجمالي المبلغ]]-Table510[[#This Row],[المبلغ المدفوع]]</f>
        <v>0</v>
      </c>
      <c r="N312" s="60"/>
    </row>
    <row r="313" spans="1:14" hidden="1" x14ac:dyDescent="0.3">
      <c r="A313" s="52">
        <f t="shared" si="4"/>
        <v>310</v>
      </c>
      <c r="B313" s="55" t="s">
        <v>107</v>
      </c>
      <c r="C313" s="56">
        <v>45341</v>
      </c>
      <c r="D313" s="55">
        <v>305</v>
      </c>
      <c r="E313" s="57">
        <v>200</v>
      </c>
      <c r="F313" s="59">
        <v>5</v>
      </c>
      <c r="G313" s="57">
        <v>39</v>
      </c>
      <c r="H313" s="57"/>
      <c r="I313" s="57"/>
      <c r="J313" s="57">
        <f>Table510[[#This Row],[العدد]]*Table510[[#This Row],[الفئة]]</f>
        <v>1000</v>
      </c>
      <c r="K31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39000</v>
      </c>
      <c r="L313" s="57">
        <f>Table510[[#This Row],[اجمالي المبلغ]]</f>
        <v>39000</v>
      </c>
      <c r="M313" s="57">
        <f>Table510[[#This Row],[اجمالي المبلغ]]-Table510[[#This Row],[المبلغ المدفوع]]</f>
        <v>0</v>
      </c>
      <c r="N313" s="60"/>
    </row>
    <row r="314" spans="1:14" hidden="1" x14ac:dyDescent="0.3">
      <c r="A314" s="52">
        <f t="shared" si="4"/>
        <v>311</v>
      </c>
      <c r="B314" s="55"/>
      <c r="C314" s="56"/>
      <c r="D314" s="55"/>
      <c r="E314" s="57"/>
      <c r="F314" s="59"/>
      <c r="G314" s="57"/>
      <c r="H314" s="57"/>
      <c r="I314" s="57"/>
      <c r="J314" s="57">
        <f>Table510[[#This Row],[العدد]]*Table510[[#This Row],[الفئة]]</f>
        <v>0</v>
      </c>
      <c r="K31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14" s="57"/>
      <c r="M314" s="57">
        <f>Table510[[#This Row],[اجمالي المبلغ]]-Table510[[#This Row],[المبلغ المدفوع]]</f>
        <v>0</v>
      </c>
      <c r="N314" s="60"/>
    </row>
    <row r="315" spans="1:14" hidden="1" x14ac:dyDescent="0.3">
      <c r="A315" s="52">
        <f t="shared" si="4"/>
        <v>312</v>
      </c>
      <c r="B315" s="55" t="s">
        <v>107</v>
      </c>
      <c r="C315" s="56">
        <v>45342</v>
      </c>
      <c r="D315" s="55">
        <v>306</v>
      </c>
      <c r="E315" s="57">
        <v>100</v>
      </c>
      <c r="F315" s="59">
        <v>5</v>
      </c>
      <c r="G315" s="57">
        <v>39</v>
      </c>
      <c r="H315" s="57"/>
      <c r="I315" s="57"/>
      <c r="J315" s="57">
        <f>Table510[[#This Row],[العدد]]*Table510[[#This Row],[الفئة]]</f>
        <v>500</v>
      </c>
      <c r="K31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19500</v>
      </c>
      <c r="L315" s="57"/>
      <c r="M315" s="57">
        <f>Table510[[#This Row],[اجمالي المبلغ]]-Table510[[#This Row],[المبلغ المدفوع]]</f>
        <v>19500</v>
      </c>
      <c r="N315" s="60"/>
    </row>
    <row r="316" spans="1:14" hidden="1" x14ac:dyDescent="0.3">
      <c r="A316" s="52">
        <f t="shared" si="4"/>
        <v>313</v>
      </c>
      <c r="B316" s="55"/>
      <c r="C316" s="56"/>
      <c r="D316" s="55"/>
      <c r="E316" s="57"/>
      <c r="F316" s="59"/>
      <c r="G316" s="57"/>
      <c r="H316" s="57"/>
      <c r="I316" s="57"/>
      <c r="J316" s="57">
        <f>Table510[[#This Row],[العدد]]*Table510[[#This Row],[الفئة]]</f>
        <v>0</v>
      </c>
      <c r="K31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16" s="57"/>
      <c r="M316" s="57">
        <f>Table510[[#This Row],[اجمالي المبلغ]]-Table510[[#This Row],[المبلغ المدفوع]]</f>
        <v>0</v>
      </c>
      <c r="N316" s="60"/>
    </row>
    <row r="317" spans="1:14" hidden="1" x14ac:dyDescent="0.3">
      <c r="A317" s="52">
        <f t="shared" si="4"/>
        <v>314</v>
      </c>
      <c r="B317" s="55" t="s">
        <v>108</v>
      </c>
      <c r="C317" s="56">
        <v>45343</v>
      </c>
      <c r="D317" s="55">
        <v>307</v>
      </c>
      <c r="E317" s="57">
        <v>50</v>
      </c>
      <c r="F317" s="59">
        <v>5</v>
      </c>
      <c r="G317" s="57">
        <v>37</v>
      </c>
      <c r="H317" s="57"/>
      <c r="I317" s="57"/>
      <c r="J317" s="57">
        <f>Table510[[#This Row],[العدد]]*Table510[[#This Row],[الفئة]]</f>
        <v>250</v>
      </c>
      <c r="K317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9250</v>
      </c>
      <c r="L317" s="57"/>
      <c r="M317" s="57">
        <f>Table510[[#This Row],[اجمالي المبلغ]]-Table510[[#This Row],[المبلغ المدفوع]]</f>
        <v>9250</v>
      </c>
      <c r="N317" s="60"/>
    </row>
    <row r="318" spans="1:14" hidden="1" x14ac:dyDescent="0.3">
      <c r="A318" s="52">
        <f t="shared" si="4"/>
        <v>315</v>
      </c>
      <c r="B318" s="55" t="s">
        <v>108</v>
      </c>
      <c r="C318" s="56">
        <v>45343</v>
      </c>
      <c r="D318" s="55">
        <v>307</v>
      </c>
      <c r="E318" s="57">
        <v>25</v>
      </c>
      <c r="F318" s="59">
        <v>1</v>
      </c>
      <c r="G318" s="57">
        <v>29</v>
      </c>
      <c r="H318" s="57"/>
      <c r="I318" s="57"/>
      <c r="J318" s="57">
        <f>Table510[[#This Row],[العدد]]*Table510[[#This Row],[الفئة]]</f>
        <v>25</v>
      </c>
      <c r="K318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725</v>
      </c>
      <c r="L318" s="57"/>
      <c r="M318" s="57">
        <f>Table510[[#This Row],[اجمالي المبلغ]]-Table510[[#This Row],[المبلغ المدفوع]]</f>
        <v>725</v>
      </c>
      <c r="N318" s="60" t="s">
        <v>68</v>
      </c>
    </row>
    <row r="319" spans="1:14" hidden="1" x14ac:dyDescent="0.3">
      <c r="A319" s="52">
        <f t="shared" si="4"/>
        <v>316</v>
      </c>
      <c r="B319" s="55"/>
      <c r="C319" s="56"/>
      <c r="D319" s="55"/>
      <c r="E319" s="58"/>
      <c r="F319" s="59"/>
      <c r="G319" s="57"/>
      <c r="H319" s="57"/>
      <c r="I319" s="57"/>
      <c r="J319" s="57">
        <f>Table510[[#This Row],[العدد]]*Table510[[#This Row],[الفئة]]</f>
        <v>0</v>
      </c>
      <c r="K319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19" s="57"/>
      <c r="M319" s="57">
        <f>Table510[[#This Row],[اجمالي المبلغ]]-Table510[[#This Row],[المبلغ المدفوع]]</f>
        <v>0</v>
      </c>
      <c r="N319" s="60"/>
    </row>
    <row r="320" spans="1:14" hidden="1" x14ac:dyDescent="0.3">
      <c r="A320" s="52">
        <f t="shared" si="4"/>
        <v>317</v>
      </c>
      <c r="B320" s="55" t="s">
        <v>109</v>
      </c>
      <c r="C320" s="56">
        <v>45343</v>
      </c>
      <c r="D320" s="55">
        <v>308</v>
      </c>
      <c r="E320" s="57">
        <v>200</v>
      </c>
      <c r="F320" s="59">
        <v>5</v>
      </c>
      <c r="G320" s="57">
        <v>38</v>
      </c>
      <c r="H320" s="57"/>
      <c r="I320" s="57"/>
      <c r="J320" s="57">
        <f>Table510[[#This Row],[العدد]]*Table510[[#This Row],[الفئة]]</f>
        <v>1000</v>
      </c>
      <c r="K320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38000</v>
      </c>
      <c r="L320" s="57"/>
      <c r="M320" s="57">
        <f>Table510[[#This Row],[اجمالي المبلغ]]-Table510[[#This Row],[المبلغ المدفوع]]</f>
        <v>38000</v>
      </c>
      <c r="N320" s="60"/>
    </row>
    <row r="321" spans="1:14" hidden="1" x14ac:dyDescent="0.3">
      <c r="A321" s="52">
        <f t="shared" si="4"/>
        <v>318</v>
      </c>
      <c r="B321" s="55"/>
      <c r="C321" s="56"/>
      <c r="D321" s="55"/>
      <c r="E321" s="57"/>
      <c r="F321" s="59"/>
      <c r="G321" s="57"/>
      <c r="H321" s="57"/>
      <c r="I321" s="57"/>
      <c r="J321" s="57">
        <f>Table510[[#This Row],[العدد]]*Table510[[#This Row],[الفئة]]</f>
        <v>0</v>
      </c>
      <c r="K321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21" s="57"/>
      <c r="M321" s="57">
        <f>Table510[[#This Row],[اجمالي المبلغ]]-Table510[[#This Row],[المبلغ المدفوع]]</f>
        <v>0</v>
      </c>
      <c r="N321" s="60"/>
    </row>
    <row r="322" spans="1:14" hidden="1" x14ac:dyDescent="0.3">
      <c r="A322" s="52">
        <f t="shared" si="4"/>
        <v>319</v>
      </c>
      <c r="B322" s="55" t="s">
        <v>110</v>
      </c>
      <c r="C322" s="56">
        <v>45343</v>
      </c>
      <c r="D322" s="55">
        <v>309</v>
      </c>
      <c r="E322" s="57">
        <v>30</v>
      </c>
      <c r="F322" s="59">
        <v>5</v>
      </c>
      <c r="G322" s="57">
        <v>40</v>
      </c>
      <c r="H322" s="57"/>
      <c r="I322" s="57"/>
      <c r="J322" s="57">
        <f>Table510[[#This Row],[العدد]]*Table510[[#This Row],[الفئة]]</f>
        <v>150</v>
      </c>
      <c r="K322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6000</v>
      </c>
      <c r="L322" s="57">
        <v>4000</v>
      </c>
      <c r="M322" s="57">
        <f>Table510[[#This Row],[اجمالي المبلغ]]-Table510[[#This Row],[المبلغ المدفوع]]</f>
        <v>2000</v>
      </c>
      <c r="N322" s="60"/>
    </row>
    <row r="323" spans="1:14" hidden="1" x14ac:dyDescent="0.3">
      <c r="A323" s="52">
        <f t="shared" si="4"/>
        <v>320</v>
      </c>
      <c r="B323" s="55"/>
      <c r="C323" s="56"/>
      <c r="D323" s="55"/>
      <c r="E323" s="57"/>
      <c r="F323" s="59"/>
      <c r="G323" s="57"/>
      <c r="H323" s="57"/>
      <c r="I323" s="57"/>
      <c r="J323" s="57">
        <f>Table510[[#This Row],[العدد]]*Table510[[#This Row],[الفئة]]</f>
        <v>0</v>
      </c>
      <c r="K323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23" s="57"/>
      <c r="M323" s="57">
        <f>Table510[[#This Row],[اجمالي المبلغ]]-Table510[[#This Row],[المبلغ المدفوع]]</f>
        <v>0</v>
      </c>
      <c r="N323" s="60"/>
    </row>
    <row r="324" spans="1:14" hidden="1" x14ac:dyDescent="0.3">
      <c r="A324" s="52">
        <f t="shared" si="4"/>
        <v>321</v>
      </c>
      <c r="B324" s="63" t="s">
        <v>69</v>
      </c>
      <c r="C324" s="56">
        <v>45343</v>
      </c>
      <c r="D324" s="55">
        <v>310</v>
      </c>
      <c r="E324" s="57"/>
      <c r="F324" s="59"/>
      <c r="G324" s="57"/>
      <c r="H324" s="57"/>
      <c r="I324" s="57"/>
      <c r="J324" s="57">
        <f>Table510[[#This Row],[العدد]]*Table510[[#This Row],[الفئة]]</f>
        <v>0</v>
      </c>
      <c r="K324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24" s="57"/>
      <c r="M324" s="57">
        <f>Table510[[#This Row],[اجمالي المبلغ]]-Table510[[#This Row],[المبلغ المدفوع]]</f>
        <v>0</v>
      </c>
      <c r="N324" s="60"/>
    </row>
    <row r="325" spans="1:14" hidden="1" x14ac:dyDescent="0.3">
      <c r="A325" s="52">
        <f t="shared" si="4"/>
        <v>322</v>
      </c>
      <c r="B325" s="55"/>
      <c r="C325" s="56"/>
      <c r="D325" s="55"/>
      <c r="E325" s="57"/>
      <c r="F325" s="59"/>
      <c r="G325" s="57"/>
      <c r="H325" s="57"/>
      <c r="I325" s="57"/>
      <c r="J325" s="57">
        <f>Table510[[#This Row],[العدد]]*Table510[[#This Row],[الفئة]]</f>
        <v>0</v>
      </c>
      <c r="K325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25" s="57"/>
      <c r="M325" s="57">
        <f>Table510[[#This Row],[اجمالي المبلغ]]-Table510[[#This Row],[المبلغ المدفوع]]</f>
        <v>0</v>
      </c>
      <c r="N325" s="60"/>
    </row>
    <row r="326" spans="1:14" ht="7.5" hidden="1" customHeight="1" x14ac:dyDescent="0.3">
      <c r="A326" s="52">
        <f t="shared" ref="A326:A389" si="5">A325+1</f>
        <v>323</v>
      </c>
      <c r="B326" s="55" t="s">
        <v>111</v>
      </c>
      <c r="C326" s="56">
        <v>45343</v>
      </c>
      <c r="D326" s="55">
        <v>311</v>
      </c>
      <c r="E326" s="57">
        <v>400</v>
      </c>
      <c r="F326" s="59">
        <v>1.6</v>
      </c>
      <c r="G326" s="57">
        <v>37.5</v>
      </c>
      <c r="H326" s="57"/>
      <c r="I326" s="57"/>
      <c r="J326" s="57">
        <f>Table510[[#This Row],[العدد]]*Table510[[#This Row],[الفئة]]</f>
        <v>640</v>
      </c>
      <c r="K326" s="5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30000</v>
      </c>
      <c r="L326" s="57"/>
      <c r="M326" s="57">
        <f>Table510[[#This Row],[اجمالي المبلغ]]-Table510[[#This Row],[المبلغ المدفوع]]</f>
        <v>30000</v>
      </c>
      <c r="N326" s="60"/>
    </row>
    <row r="327" spans="1:14" hidden="1" x14ac:dyDescent="0.3">
      <c r="A327" s="52">
        <f t="shared" si="5"/>
        <v>324</v>
      </c>
      <c r="B327" s="74"/>
      <c r="C327" s="75"/>
      <c r="D327" s="74"/>
      <c r="E327" s="60"/>
      <c r="F327" s="76"/>
      <c r="G327" s="60"/>
      <c r="H327" s="60"/>
      <c r="I327" s="60"/>
      <c r="J327" s="60">
        <f>Table510[[#This Row],[العدد]]*Table510[[#This Row],[الفئة]]</f>
        <v>0</v>
      </c>
      <c r="K32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27" s="60"/>
      <c r="M327" s="60">
        <f>Table510[[#This Row],[اجمالي المبلغ]]-Table510[[#This Row],[المبلغ المدفوع]]</f>
        <v>0</v>
      </c>
      <c r="N327" s="60"/>
    </row>
    <row r="328" spans="1:14" hidden="1" x14ac:dyDescent="0.3">
      <c r="A328" s="52">
        <f t="shared" si="5"/>
        <v>325</v>
      </c>
      <c r="B328" s="74" t="s">
        <v>146</v>
      </c>
      <c r="C328" s="75">
        <v>45343</v>
      </c>
      <c r="D328" s="74">
        <v>312</v>
      </c>
      <c r="E328" s="60">
        <v>800</v>
      </c>
      <c r="F328" s="76">
        <v>0.8</v>
      </c>
      <c r="G328" s="60">
        <v>40</v>
      </c>
      <c r="H328" s="60"/>
      <c r="I328" s="60"/>
      <c r="J328" s="60">
        <f>Table510[[#This Row],[العدد]]*Table510[[#This Row],[الفئة]]</f>
        <v>640</v>
      </c>
      <c r="K32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32000</v>
      </c>
      <c r="L328" s="60">
        <v>48000</v>
      </c>
      <c r="M328" s="60">
        <f>Table510[[#This Row],[اجمالي المبلغ]]-Table510[[#This Row],[المبلغ المدفوع]]</f>
        <v>-16000</v>
      </c>
      <c r="N328" s="60"/>
    </row>
    <row r="329" spans="1:14" hidden="1" x14ac:dyDescent="0.3">
      <c r="A329" s="52">
        <f t="shared" si="5"/>
        <v>326</v>
      </c>
      <c r="B329" s="74" t="s">
        <v>146</v>
      </c>
      <c r="C329" s="75">
        <v>45343</v>
      </c>
      <c r="D329" s="74">
        <v>312</v>
      </c>
      <c r="E329" s="60">
        <v>100</v>
      </c>
      <c r="F329" s="76">
        <v>1.6</v>
      </c>
      <c r="G329" s="60">
        <v>40</v>
      </c>
      <c r="H329" s="60"/>
      <c r="I329" s="60"/>
      <c r="J329" s="60">
        <f>Table510[[#This Row],[العدد]]*Table510[[#This Row],[الفئة]]</f>
        <v>160</v>
      </c>
      <c r="K32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8000</v>
      </c>
      <c r="L329" s="60"/>
      <c r="M329" s="60">
        <f>Table510[[#This Row],[اجمالي المبلغ]]-Table510[[#This Row],[المبلغ المدفوع]]</f>
        <v>8000</v>
      </c>
      <c r="N329" s="60"/>
    </row>
    <row r="330" spans="1:14" hidden="1" x14ac:dyDescent="0.3">
      <c r="A330" s="52">
        <f t="shared" si="5"/>
        <v>327</v>
      </c>
      <c r="B330" s="74"/>
      <c r="C330" s="75"/>
      <c r="D330" s="74"/>
      <c r="E330" s="60"/>
      <c r="F330" s="76"/>
      <c r="G330" s="60"/>
      <c r="H330" s="60"/>
      <c r="I330" s="60"/>
      <c r="J330" s="60">
        <f>Table510[[#This Row],[العدد]]*Table510[[#This Row],[الفئة]]</f>
        <v>0</v>
      </c>
      <c r="K33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30" s="60"/>
      <c r="M330" s="60">
        <f>Table510[[#This Row],[اجمالي المبلغ]]-Table510[[#This Row],[المبلغ المدفوع]]</f>
        <v>0</v>
      </c>
      <c r="N330" s="60"/>
    </row>
    <row r="331" spans="1:14" hidden="1" x14ac:dyDescent="0.3">
      <c r="A331" s="52">
        <f t="shared" si="5"/>
        <v>328</v>
      </c>
      <c r="B331" s="74" t="s">
        <v>112</v>
      </c>
      <c r="C331" s="75">
        <v>45343</v>
      </c>
      <c r="D331" s="74">
        <v>313</v>
      </c>
      <c r="E331" s="60">
        <v>120</v>
      </c>
      <c r="F331" s="76">
        <v>5</v>
      </c>
      <c r="G331" s="60"/>
      <c r="H331" s="60"/>
      <c r="I331" s="60"/>
      <c r="J331" s="60">
        <f>Table510[[#This Row],[العدد]]*Table510[[#This Row],[الفئة]]</f>
        <v>600</v>
      </c>
      <c r="K33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31" s="60"/>
      <c r="M331" s="60">
        <f>Table510[[#This Row],[اجمالي المبلغ]]-Table510[[#This Row],[المبلغ المدفوع]]</f>
        <v>0</v>
      </c>
      <c r="N331" s="60" t="s">
        <v>140</v>
      </c>
    </row>
    <row r="332" spans="1:14" hidden="1" x14ac:dyDescent="0.3">
      <c r="A332" s="52">
        <f t="shared" si="5"/>
        <v>329</v>
      </c>
      <c r="B332" s="74"/>
      <c r="C332" s="75"/>
      <c r="D332" s="74"/>
      <c r="E332" s="60"/>
      <c r="F332" s="76"/>
      <c r="G332" s="60"/>
      <c r="H332" s="60"/>
      <c r="I332" s="60"/>
      <c r="J332" s="60">
        <f>Table510[[#This Row],[العدد]]*Table510[[#This Row],[الفئة]]</f>
        <v>0</v>
      </c>
      <c r="K33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32" s="60"/>
      <c r="M332" s="60">
        <f>Table510[[#This Row],[اجمالي المبلغ]]-Table510[[#This Row],[المبلغ المدفوع]]</f>
        <v>0</v>
      </c>
      <c r="N332" s="60"/>
    </row>
    <row r="333" spans="1:14" hidden="1" x14ac:dyDescent="0.3">
      <c r="A333" s="52">
        <f t="shared" si="5"/>
        <v>330</v>
      </c>
      <c r="B333" s="74" t="s">
        <v>113</v>
      </c>
      <c r="C333" s="75">
        <v>45343</v>
      </c>
      <c r="D333" s="74">
        <v>314</v>
      </c>
      <c r="E333" s="60">
        <v>60</v>
      </c>
      <c r="F333" s="76">
        <v>5</v>
      </c>
      <c r="G333" s="60">
        <v>40</v>
      </c>
      <c r="H333" s="60"/>
      <c r="I333" s="60"/>
      <c r="J333" s="60">
        <f>Table510[[#This Row],[العدد]]*Table510[[#This Row],[الفئة]]</f>
        <v>300</v>
      </c>
      <c r="K33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12000</v>
      </c>
      <c r="L333" s="60">
        <f>Table510[[#This Row],[اجمالي المبلغ]]</f>
        <v>12000</v>
      </c>
      <c r="M333" s="60">
        <f>Table510[[#This Row],[اجمالي المبلغ]]-Table510[[#This Row],[المبلغ المدفوع]]</f>
        <v>0</v>
      </c>
      <c r="N333" s="60"/>
    </row>
    <row r="334" spans="1:14" hidden="1" x14ac:dyDescent="0.3">
      <c r="A334" s="52">
        <f t="shared" si="5"/>
        <v>331</v>
      </c>
      <c r="B334" s="74"/>
      <c r="C334" s="75"/>
      <c r="D334" s="74"/>
      <c r="E334" s="60"/>
      <c r="F334" s="76"/>
      <c r="G334" s="60"/>
      <c r="H334" s="60"/>
      <c r="I334" s="60"/>
      <c r="J334" s="60">
        <f>Table510[[#This Row],[العدد]]*Table510[[#This Row],[الفئة]]</f>
        <v>0</v>
      </c>
      <c r="K33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34" s="60"/>
      <c r="M334" s="60">
        <f>Table510[[#This Row],[اجمالي المبلغ]]-Table510[[#This Row],[المبلغ المدفوع]]</f>
        <v>0</v>
      </c>
      <c r="N334" s="60"/>
    </row>
    <row r="335" spans="1:14" hidden="1" x14ac:dyDescent="0.3">
      <c r="A335" s="52">
        <f t="shared" si="5"/>
        <v>332</v>
      </c>
      <c r="B335" s="74" t="s">
        <v>114</v>
      </c>
      <c r="C335" s="75">
        <v>45345</v>
      </c>
      <c r="D335" s="74">
        <v>315</v>
      </c>
      <c r="E335" s="60">
        <v>80</v>
      </c>
      <c r="F335" s="76">
        <v>5</v>
      </c>
      <c r="G335" s="60">
        <v>40</v>
      </c>
      <c r="H335" s="60"/>
      <c r="I335" s="60"/>
      <c r="J335" s="60">
        <f>Table510[[#This Row],[العدد]]*Table510[[#This Row],[الفئة]]</f>
        <v>400</v>
      </c>
      <c r="K33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16000</v>
      </c>
      <c r="L335" s="60">
        <f>Table510[[#This Row],[اجمالي المبلغ]]</f>
        <v>16000</v>
      </c>
      <c r="M335" s="60">
        <f>Table510[[#This Row],[اجمالي المبلغ]]-Table510[[#This Row],[المبلغ المدفوع]]</f>
        <v>0</v>
      </c>
      <c r="N335" s="60"/>
    </row>
    <row r="336" spans="1:14" hidden="1" x14ac:dyDescent="0.3">
      <c r="A336" s="52">
        <f t="shared" si="5"/>
        <v>333</v>
      </c>
      <c r="B336" s="74"/>
      <c r="C336" s="75"/>
      <c r="D336" s="74"/>
      <c r="E336" s="60"/>
      <c r="F336" s="76"/>
      <c r="G336" s="60"/>
      <c r="H336" s="60"/>
      <c r="I336" s="60"/>
      <c r="J336" s="60">
        <f>Table510[[#This Row],[العدد]]*Table510[[#This Row],[الفئة]]</f>
        <v>0</v>
      </c>
      <c r="K33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36" s="60"/>
      <c r="M336" s="60">
        <f>Table510[[#This Row],[اجمالي المبلغ]]-Table510[[#This Row],[المبلغ المدفوع]]</f>
        <v>0</v>
      </c>
      <c r="N336" s="60"/>
    </row>
    <row r="337" spans="1:14" hidden="1" x14ac:dyDescent="0.3">
      <c r="A337" s="52">
        <f t="shared" si="5"/>
        <v>334</v>
      </c>
      <c r="B337" s="74" t="s">
        <v>19</v>
      </c>
      <c r="C337" s="75">
        <v>45345</v>
      </c>
      <c r="D337" s="74">
        <v>316</v>
      </c>
      <c r="E337" s="60">
        <v>200</v>
      </c>
      <c r="F337" s="76">
        <v>5</v>
      </c>
      <c r="G337" s="60">
        <v>40</v>
      </c>
      <c r="H337" s="60"/>
      <c r="I337" s="60"/>
      <c r="J337" s="60">
        <f>Table510[[#This Row],[العدد]]*Table510[[#This Row],[الفئة]]</f>
        <v>1000</v>
      </c>
      <c r="K33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40000</v>
      </c>
      <c r="L337" s="60"/>
      <c r="M337" s="60">
        <f>Table510[[#This Row],[اجمالي المبلغ]]-Table510[[#This Row],[المبلغ المدفوع]]</f>
        <v>40000</v>
      </c>
      <c r="N337" s="60"/>
    </row>
    <row r="338" spans="1:14" hidden="1" x14ac:dyDescent="0.3">
      <c r="A338" s="52">
        <f t="shared" si="5"/>
        <v>335</v>
      </c>
      <c r="B338" s="74" t="s">
        <v>19</v>
      </c>
      <c r="C338" s="75">
        <v>45345</v>
      </c>
      <c r="D338" s="74">
        <v>316</v>
      </c>
      <c r="E338" s="60">
        <v>100</v>
      </c>
      <c r="F338" s="76">
        <v>1.6</v>
      </c>
      <c r="G338" s="60">
        <v>38</v>
      </c>
      <c r="H338" s="60"/>
      <c r="I338" s="60"/>
      <c r="J338" s="60">
        <f>Table510[[#This Row],[العدد]]*Table510[[#This Row],[الفئة]]</f>
        <v>160</v>
      </c>
      <c r="K33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338" s="60"/>
      <c r="M338" s="60">
        <f>Table510[[#This Row],[اجمالي المبلغ]]-Table510[[#This Row],[المبلغ المدفوع]]</f>
        <v>7600</v>
      </c>
      <c r="N338" s="60"/>
    </row>
    <row r="339" spans="1:14" hidden="1" x14ac:dyDescent="0.3">
      <c r="A339" s="52">
        <f t="shared" si="5"/>
        <v>336</v>
      </c>
      <c r="B339" s="74" t="s">
        <v>19</v>
      </c>
      <c r="C339" s="75">
        <v>45345</v>
      </c>
      <c r="D339" s="74">
        <v>316</v>
      </c>
      <c r="E339" s="60">
        <v>800</v>
      </c>
      <c r="F339" s="76">
        <v>0.8</v>
      </c>
      <c r="G339" s="60">
        <v>38</v>
      </c>
      <c r="H339" s="60"/>
      <c r="I339" s="60"/>
      <c r="J339" s="60">
        <f>Table510[[#This Row],[العدد]]*Table510[[#This Row],[الفئة]]</f>
        <v>640</v>
      </c>
      <c r="K33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30400</v>
      </c>
      <c r="L339" s="60"/>
      <c r="M339" s="60">
        <f>Table510[[#This Row],[اجمالي المبلغ]]-Table510[[#This Row],[المبلغ المدفوع]]</f>
        <v>30400</v>
      </c>
      <c r="N339" s="60"/>
    </row>
    <row r="340" spans="1:14" hidden="1" x14ac:dyDescent="0.3">
      <c r="A340" s="52">
        <f t="shared" si="5"/>
        <v>337</v>
      </c>
      <c r="B340" s="74"/>
      <c r="C340" s="75"/>
      <c r="D340" s="74"/>
      <c r="E340" s="60"/>
      <c r="F340" s="76"/>
      <c r="G340" s="60"/>
      <c r="H340" s="60"/>
      <c r="I340" s="60"/>
      <c r="J340" s="60">
        <f>Table510[[#This Row],[العدد]]*Table510[[#This Row],[الفئة]]</f>
        <v>0</v>
      </c>
      <c r="K34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40" s="60"/>
      <c r="M340" s="60">
        <f>Table510[[#This Row],[اجمالي المبلغ]]-Table510[[#This Row],[المبلغ المدفوع]]</f>
        <v>0</v>
      </c>
      <c r="N340" s="60"/>
    </row>
    <row r="341" spans="1:14" hidden="1" x14ac:dyDescent="0.3">
      <c r="A341" s="52">
        <f t="shared" si="5"/>
        <v>338</v>
      </c>
      <c r="B341" s="74" t="s">
        <v>87</v>
      </c>
      <c r="C341" s="75">
        <v>45345</v>
      </c>
      <c r="D341" s="74">
        <v>317</v>
      </c>
      <c r="E341" s="60">
        <v>100</v>
      </c>
      <c r="F341" s="76">
        <v>5</v>
      </c>
      <c r="G341" s="60">
        <v>40</v>
      </c>
      <c r="H341" s="60"/>
      <c r="I341" s="60"/>
      <c r="J341" s="60">
        <f>Table510[[#This Row],[العدد]]*Table510[[#This Row],[الفئة]]</f>
        <v>500</v>
      </c>
      <c r="K34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20000</v>
      </c>
      <c r="L341" s="60">
        <f>Table510[[#This Row],[اجمالي المبلغ]]</f>
        <v>20000</v>
      </c>
      <c r="M341" s="60">
        <f>Table510[[#This Row],[اجمالي المبلغ]]-Table510[[#This Row],[المبلغ المدفوع]]</f>
        <v>0</v>
      </c>
      <c r="N341" s="60"/>
    </row>
    <row r="342" spans="1:14" hidden="1" x14ac:dyDescent="0.3">
      <c r="A342" s="52">
        <f t="shared" si="5"/>
        <v>339</v>
      </c>
      <c r="B342" s="74" t="s">
        <v>87</v>
      </c>
      <c r="C342" s="75">
        <v>45345</v>
      </c>
      <c r="D342" s="74">
        <v>317</v>
      </c>
      <c r="E342" s="60">
        <v>100</v>
      </c>
      <c r="F342" s="76">
        <v>1.6</v>
      </c>
      <c r="G342" s="60">
        <v>38</v>
      </c>
      <c r="H342" s="60"/>
      <c r="I342" s="60"/>
      <c r="J342" s="60">
        <f>Table510[[#This Row],[العدد]]*Table510[[#This Row],[الفئة]]</f>
        <v>160</v>
      </c>
      <c r="K34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342" s="60">
        <f>Table510[[#This Row],[اجمالي المبلغ]]</f>
        <v>7600</v>
      </c>
      <c r="M342" s="60">
        <f>Table510[[#This Row],[اجمالي المبلغ]]-Table510[[#This Row],[المبلغ المدفوع]]</f>
        <v>0</v>
      </c>
      <c r="N342" s="60"/>
    </row>
    <row r="343" spans="1:14" hidden="1" x14ac:dyDescent="0.3">
      <c r="A343" s="52">
        <f t="shared" si="5"/>
        <v>340</v>
      </c>
      <c r="B343" s="74" t="s">
        <v>87</v>
      </c>
      <c r="C343" s="75">
        <v>45345</v>
      </c>
      <c r="D343" s="74">
        <v>317</v>
      </c>
      <c r="E343" s="60">
        <v>100</v>
      </c>
      <c r="F343" s="76">
        <v>0.8</v>
      </c>
      <c r="G343" s="60">
        <v>38</v>
      </c>
      <c r="H343" s="60"/>
      <c r="I343" s="60"/>
      <c r="J343" s="60">
        <f>Table510[[#This Row],[العدد]]*Table510[[#This Row],[الفئة]]</f>
        <v>80</v>
      </c>
      <c r="K34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43" s="60">
        <f>Table510[[#This Row],[اجمالي المبلغ]]</f>
        <v>3800</v>
      </c>
      <c r="M343" s="60">
        <f>Table510[[#This Row],[اجمالي المبلغ]]-Table510[[#This Row],[المبلغ المدفوع]]</f>
        <v>0</v>
      </c>
      <c r="N343" s="60"/>
    </row>
    <row r="344" spans="1:14" hidden="1" x14ac:dyDescent="0.3">
      <c r="A344" s="52">
        <f t="shared" si="5"/>
        <v>341</v>
      </c>
      <c r="B344" s="74"/>
      <c r="C344" s="75"/>
      <c r="D344" s="74"/>
      <c r="E344" s="60"/>
      <c r="F344" s="76"/>
      <c r="G344" s="60"/>
      <c r="H344" s="60"/>
      <c r="I344" s="60"/>
      <c r="J344" s="60">
        <f>Table510[[#This Row],[العدد]]*Table510[[#This Row],[الفئة]]</f>
        <v>0</v>
      </c>
      <c r="K34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44" s="60"/>
      <c r="M344" s="60">
        <f>Table510[[#This Row],[اجمالي المبلغ]]-Table510[[#This Row],[المبلغ المدفوع]]</f>
        <v>0</v>
      </c>
      <c r="N344" s="60"/>
    </row>
    <row r="345" spans="1:14" hidden="1" x14ac:dyDescent="0.3">
      <c r="A345" s="52">
        <f t="shared" si="5"/>
        <v>342</v>
      </c>
      <c r="B345" s="74" t="s">
        <v>48</v>
      </c>
      <c r="C345" s="75">
        <v>45345</v>
      </c>
      <c r="D345" s="74">
        <v>318</v>
      </c>
      <c r="E345" s="60">
        <v>90</v>
      </c>
      <c r="F345" s="76">
        <v>5</v>
      </c>
      <c r="G345" s="60">
        <v>38</v>
      </c>
      <c r="H345" s="60"/>
      <c r="I345" s="60"/>
      <c r="J345" s="60">
        <f>Table510[[#This Row],[العدد]]*Table510[[#This Row],[الفئة]]</f>
        <v>450</v>
      </c>
      <c r="K34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17100</v>
      </c>
      <c r="L345" s="60"/>
      <c r="M345" s="60">
        <f>Table510[[#This Row],[اجمالي المبلغ]]-Table510[[#This Row],[المبلغ المدفوع]]</f>
        <v>17100</v>
      </c>
      <c r="N345" s="60"/>
    </row>
    <row r="346" spans="1:14" hidden="1" x14ac:dyDescent="0.3">
      <c r="A346" s="52">
        <f t="shared" si="5"/>
        <v>343</v>
      </c>
      <c r="B346" s="74" t="s">
        <v>48</v>
      </c>
      <c r="C346" s="75">
        <v>45345</v>
      </c>
      <c r="D346" s="74">
        <v>318</v>
      </c>
      <c r="E346" s="60">
        <v>266</v>
      </c>
      <c r="F346" s="76">
        <v>5</v>
      </c>
      <c r="G346" s="60">
        <v>40</v>
      </c>
      <c r="H346" s="60"/>
      <c r="I346" s="60"/>
      <c r="J346" s="60">
        <f>Table510[[#This Row],[العدد]]*Table510[[#This Row],[الفئة]]</f>
        <v>1330</v>
      </c>
      <c r="K34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53200</v>
      </c>
      <c r="L346" s="60"/>
      <c r="M346" s="60">
        <f>Table510[[#This Row],[اجمالي المبلغ]]-Table510[[#This Row],[المبلغ المدفوع]]</f>
        <v>53200</v>
      </c>
      <c r="N346" s="60"/>
    </row>
    <row r="347" spans="1:14" hidden="1" x14ac:dyDescent="0.3">
      <c r="A347" s="52">
        <f t="shared" si="5"/>
        <v>344</v>
      </c>
      <c r="B347" s="74"/>
      <c r="C347" s="75"/>
      <c r="D347" s="74"/>
      <c r="E347" s="60"/>
      <c r="F347" s="76"/>
      <c r="G347" s="60"/>
      <c r="H347" s="60"/>
      <c r="I347" s="60"/>
      <c r="J347" s="77">
        <f>Table510[[#This Row],[العدد]]*Table510[[#This Row],[الفئة]]</f>
        <v>0</v>
      </c>
      <c r="K347" s="77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47" s="60"/>
      <c r="M347" s="60">
        <f>Table510[[#This Row],[اجمالي المبلغ]]-Table510[[#This Row],[المبلغ المدفوع]]</f>
        <v>0</v>
      </c>
      <c r="N347" s="60"/>
    </row>
    <row r="348" spans="1:14" hidden="1" x14ac:dyDescent="0.3">
      <c r="A348" s="52">
        <f t="shared" si="5"/>
        <v>345</v>
      </c>
      <c r="B348" s="74"/>
      <c r="C348" s="75"/>
      <c r="D348" s="74"/>
      <c r="E348" s="60"/>
      <c r="F348" s="76"/>
      <c r="G348" s="60"/>
      <c r="H348" s="60"/>
      <c r="I348" s="60"/>
      <c r="J348" s="60">
        <f>Table510[[#This Row],[العدد]]*Table510[[#This Row],[الفئة]]</f>
        <v>0</v>
      </c>
      <c r="K34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48" s="60"/>
      <c r="M348" s="60">
        <f>Table510[[#This Row],[اجمالي المبلغ]]-Table510[[#This Row],[المبلغ المدفوع]]</f>
        <v>0</v>
      </c>
      <c r="N348" s="60"/>
    </row>
    <row r="349" spans="1:14" hidden="1" x14ac:dyDescent="0.3">
      <c r="A349" s="52">
        <f t="shared" si="5"/>
        <v>346</v>
      </c>
      <c r="B349" s="74" t="s">
        <v>115</v>
      </c>
      <c r="C349" s="75">
        <v>45345</v>
      </c>
      <c r="D349" s="74">
        <v>319</v>
      </c>
      <c r="E349" s="60">
        <v>150</v>
      </c>
      <c r="F349" s="76">
        <v>5</v>
      </c>
      <c r="G349" s="60">
        <v>40</v>
      </c>
      <c r="H349" s="60"/>
      <c r="I349" s="60"/>
      <c r="J349" s="60">
        <f>Table510[[#This Row],[العدد]]*Table510[[#This Row],[الفئة]]</f>
        <v>750</v>
      </c>
      <c r="K34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30000</v>
      </c>
      <c r="L349" s="60"/>
      <c r="M349" s="60">
        <f>Table510[[#This Row],[اجمالي المبلغ]]-Table510[[#This Row],[المبلغ المدفوع]]</f>
        <v>30000</v>
      </c>
      <c r="N349" s="60"/>
    </row>
    <row r="350" spans="1:14" hidden="1" x14ac:dyDescent="0.3">
      <c r="A350" s="52">
        <f t="shared" si="5"/>
        <v>347</v>
      </c>
      <c r="B350" s="74" t="s">
        <v>115</v>
      </c>
      <c r="C350" s="75">
        <v>45345</v>
      </c>
      <c r="D350" s="74">
        <v>319</v>
      </c>
      <c r="E350" s="60">
        <v>100</v>
      </c>
      <c r="F350" s="76">
        <v>1.6</v>
      </c>
      <c r="G350" s="60">
        <v>38</v>
      </c>
      <c r="H350" s="60"/>
      <c r="I350" s="60"/>
      <c r="J350" s="60">
        <f>Table510[[#This Row],[العدد]]*Table510[[#This Row],[الفئة]]</f>
        <v>160</v>
      </c>
      <c r="K35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350" s="60"/>
      <c r="M350" s="60">
        <f>Table510[[#This Row],[اجمالي المبلغ]]-Table510[[#This Row],[المبلغ المدفوع]]</f>
        <v>7600</v>
      </c>
      <c r="N350" s="60"/>
    </row>
    <row r="351" spans="1:14" hidden="1" x14ac:dyDescent="0.3">
      <c r="A351" s="52">
        <f t="shared" si="5"/>
        <v>348</v>
      </c>
      <c r="B351" s="74" t="s">
        <v>115</v>
      </c>
      <c r="C351" s="75">
        <v>45345</v>
      </c>
      <c r="D351" s="74">
        <v>319</v>
      </c>
      <c r="E351" s="60">
        <v>100</v>
      </c>
      <c r="F351" s="76">
        <v>0.8</v>
      </c>
      <c r="G351" s="60">
        <v>38</v>
      </c>
      <c r="H351" s="60"/>
      <c r="I351" s="60"/>
      <c r="J351" s="60">
        <f>Table510[[#This Row],[العدد]]*Table510[[#This Row],[الفئة]]</f>
        <v>80</v>
      </c>
      <c r="K35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51" s="60"/>
      <c r="M351" s="60">
        <f>Table510[[#This Row],[اجمالي المبلغ]]-Table510[[#This Row],[المبلغ المدفوع]]</f>
        <v>3800</v>
      </c>
      <c r="N351" s="60"/>
    </row>
    <row r="352" spans="1:14" hidden="1" x14ac:dyDescent="0.3">
      <c r="A352" s="52">
        <f t="shared" si="5"/>
        <v>349</v>
      </c>
      <c r="B352" s="74"/>
      <c r="C352" s="75"/>
      <c r="D352" s="74"/>
      <c r="E352" s="60"/>
      <c r="F352" s="76"/>
      <c r="G352" s="60"/>
      <c r="H352" s="60"/>
      <c r="I352" s="60"/>
      <c r="J352" s="60">
        <f>Table510[[#This Row],[العدد]]*Table510[[#This Row],[الفئة]]</f>
        <v>0</v>
      </c>
      <c r="K35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52" s="60"/>
      <c r="M352" s="60">
        <f>Table510[[#This Row],[اجمالي المبلغ]]-Table510[[#This Row],[المبلغ المدفوع]]</f>
        <v>0</v>
      </c>
      <c r="N352" s="60"/>
    </row>
    <row r="353" spans="1:14" hidden="1" x14ac:dyDescent="0.3">
      <c r="A353" s="52">
        <f t="shared" si="5"/>
        <v>350</v>
      </c>
      <c r="B353" s="74" t="s">
        <v>116</v>
      </c>
      <c r="C353" s="75">
        <v>45345</v>
      </c>
      <c r="D353" s="74">
        <v>320</v>
      </c>
      <c r="E353" s="60">
        <v>100</v>
      </c>
      <c r="F353" s="76">
        <v>0.8</v>
      </c>
      <c r="G353" s="60">
        <v>38</v>
      </c>
      <c r="H353" s="60"/>
      <c r="I353" s="60"/>
      <c r="J353" s="60">
        <f>Table510[[#This Row],[العدد]]*Table510[[#This Row],[الفئة]]</f>
        <v>80</v>
      </c>
      <c r="K35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53" s="60"/>
      <c r="M353" s="60">
        <f>Table510[[#This Row],[اجمالي المبلغ]]-Table510[[#This Row],[المبلغ المدفوع]]</f>
        <v>3800</v>
      </c>
      <c r="N353" s="60"/>
    </row>
    <row r="354" spans="1:14" hidden="1" x14ac:dyDescent="0.3">
      <c r="A354" s="52">
        <f t="shared" si="5"/>
        <v>351</v>
      </c>
      <c r="B354" s="74"/>
      <c r="C354" s="75"/>
      <c r="D354" s="74"/>
      <c r="E354" s="60"/>
      <c r="F354" s="76"/>
      <c r="G354" s="60"/>
      <c r="H354" s="60"/>
      <c r="I354" s="60"/>
      <c r="J354" s="60">
        <f>Table510[[#This Row],[العدد]]*Table510[[#This Row],[الفئة]]</f>
        <v>0</v>
      </c>
      <c r="K35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54" s="60"/>
      <c r="M354" s="60">
        <f>Table510[[#This Row],[اجمالي المبلغ]]-Table510[[#This Row],[المبلغ المدفوع]]</f>
        <v>0</v>
      </c>
      <c r="N354" s="60"/>
    </row>
    <row r="355" spans="1:14" hidden="1" x14ac:dyDescent="0.3">
      <c r="A355" s="52">
        <f t="shared" si="5"/>
        <v>352</v>
      </c>
      <c r="B355" s="74" t="s">
        <v>117</v>
      </c>
      <c r="C355" s="75">
        <v>45345</v>
      </c>
      <c r="D355" s="74">
        <v>321</v>
      </c>
      <c r="E355" s="60">
        <v>150</v>
      </c>
      <c r="F355" s="76">
        <v>5</v>
      </c>
      <c r="G355" s="60">
        <v>40</v>
      </c>
      <c r="H355" s="60"/>
      <c r="I355" s="60"/>
      <c r="J355" s="60">
        <f>Table510[[#This Row],[العدد]]*Table510[[#This Row],[الفئة]]</f>
        <v>750</v>
      </c>
      <c r="K35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30000</v>
      </c>
      <c r="L355" s="60"/>
      <c r="M355" s="60">
        <f>Table510[[#This Row],[اجمالي المبلغ]]-Table510[[#This Row],[المبلغ المدفوع]]</f>
        <v>30000</v>
      </c>
      <c r="N355" s="60"/>
    </row>
    <row r="356" spans="1:14" hidden="1" x14ac:dyDescent="0.3">
      <c r="A356" s="52">
        <f t="shared" si="5"/>
        <v>353</v>
      </c>
      <c r="B356" s="74"/>
      <c r="C356" s="75"/>
      <c r="D356" s="74"/>
      <c r="E356" s="60"/>
      <c r="F356" s="76"/>
      <c r="G356" s="60"/>
      <c r="H356" s="60"/>
      <c r="I356" s="60"/>
      <c r="J356" s="60">
        <f>Table510[[#This Row],[العدد]]*Table510[[#This Row],[الفئة]]</f>
        <v>0</v>
      </c>
      <c r="K35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56" s="60"/>
      <c r="M356" s="60">
        <f>Table510[[#This Row],[اجمالي المبلغ]]-Table510[[#This Row],[المبلغ المدفوع]]</f>
        <v>0</v>
      </c>
      <c r="N356" s="60"/>
    </row>
    <row r="357" spans="1:14" hidden="1" x14ac:dyDescent="0.3">
      <c r="A357" s="52">
        <f t="shared" si="5"/>
        <v>354</v>
      </c>
      <c r="B357" s="74" t="s">
        <v>118</v>
      </c>
      <c r="C357" s="75">
        <v>45346</v>
      </c>
      <c r="D357" s="74">
        <v>322</v>
      </c>
      <c r="E357" s="60">
        <v>600</v>
      </c>
      <c r="F357" s="76">
        <v>5</v>
      </c>
      <c r="G357" s="60">
        <v>45</v>
      </c>
      <c r="H357" s="60"/>
      <c r="I357" s="60"/>
      <c r="J357" s="60">
        <f>Table510[[#This Row],[العدد]]*Table510[[#This Row],[الفئة]]</f>
        <v>3000</v>
      </c>
      <c r="K35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135000</v>
      </c>
      <c r="L357" s="60">
        <f>Table510[[#This Row],[اجمالي المبلغ]]</f>
        <v>135000</v>
      </c>
      <c r="M357" s="60">
        <f>Table510[[#This Row],[اجمالي المبلغ]]-Table510[[#This Row],[المبلغ المدفوع]]</f>
        <v>0</v>
      </c>
      <c r="N357" s="60"/>
    </row>
    <row r="358" spans="1:14" hidden="1" x14ac:dyDescent="0.3">
      <c r="A358" s="52">
        <f t="shared" si="5"/>
        <v>355</v>
      </c>
      <c r="B358" s="74"/>
      <c r="C358" s="75"/>
      <c r="D358" s="74"/>
      <c r="E358" s="60"/>
      <c r="F358" s="76"/>
      <c r="G358" s="60"/>
      <c r="H358" s="60"/>
      <c r="I358" s="60"/>
      <c r="J358" s="60">
        <f>Table510[[#This Row],[العدد]]*Table510[[#This Row],[الفئة]]</f>
        <v>0</v>
      </c>
      <c r="K35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58" s="60"/>
      <c r="M358" s="60">
        <f>Table510[[#This Row],[اجمالي المبلغ]]-Table510[[#This Row],[المبلغ المدفوع]]</f>
        <v>0</v>
      </c>
      <c r="N358" s="60"/>
    </row>
    <row r="359" spans="1:14" hidden="1" x14ac:dyDescent="0.3">
      <c r="A359" s="52">
        <f t="shared" si="5"/>
        <v>356</v>
      </c>
      <c r="B359" s="74" t="s">
        <v>85</v>
      </c>
      <c r="C359" s="75">
        <v>45346</v>
      </c>
      <c r="D359" s="74">
        <v>323</v>
      </c>
      <c r="E359" s="60">
        <v>368</v>
      </c>
      <c r="F359" s="76">
        <v>5</v>
      </c>
      <c r="G359" s="60">
        <v>39</v>
      </c>
      <c r="H359" s="60"/>
      <c r="I359" s="60"/>
      <c r="J359" s="60">
        <f>Table510[[#This Row],[العدد]]*Table510[[#This Row],[الفئة]]</f>
        <v>1840</v>
      </c>
      <c r="K35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71760</v>
      </c>
      <c r="L359" s="60"/>
      <c r="M359" s="60">
        <f>Table510[[#This Row],[اجمالي المبلغ]]-Table510[[#This Row],[المبلغ المدفوع]]</f>
        <v>71760</v>
      </c>
      <c r="N359" s="60"/>
    </row>
    <row r="360" spans="1:14" hidden="1" x14ac:dyDescent="0.3">
      <c r="A360" s="52">
        <f t="shared" si="5"/>
        <v>357</v>
      </c>
      <c r="B360" s="74" t="s">
        <v>85</v>
      </c>
      <c r="C360" s="75">
        <v>45346</v>
      </c>
      <c r="D360" s="74">
        <v>323</v>
      </c>
      <c r="E360" s="60">
        <v>40</v>
      </c>
      <c r="F360" s="76">
        <v>0.8</v>
      </c>
      <c r="G360" s="60">
        <v>38</v>
      </c>
      <c r="H360" s="60"/>
      <c r="I360" s="60"/>
      <c r="J360" s="60">
        <f>Table510[[#This Row],[العدد]]*Table510[[#This Row],[الفئة]]</f>
        <v>32</v>
      </c>
      <c r="K36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1520</v>
      </c>
      <c r="L360" s="60"/>
      <c r="M360" s="60">
        <f>Table510[[#This Row],[اجمالي المبلغ]]-Table510[[#This Row],[المبلغ المدفوع]]</f>
        <v>1520</v>
      </c>
      <c r="N360" s="60"/>
    </row>
    <row r="361" spans="1:14" hidden="1" x14ac:dyDescent="0.3">
      <c r="A361" s="52">
        <f t="shared" si="5"/>
        <v>358</v>
      </c>
      <c r="B361" s="74"/>
      <c r="C361" s="75"/>
      <c r="D361" s="74"/>
      <c r="E361" s="60"/>
      <c r="F361" s="76"/>
      <c r="G361" s="60"/>
      <c r="H361" s="60"/>
      <c r="I361" s="60"/>
      <c r="J361" s="60">
        <f>Table510[[#This Row],[العدد]]*Table510[[#This Row],[الفئة]]</f>
        <v>0</v>
      </c>
      <c r="K36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61" s="60"/>
      <c r="M361" s="60">
        <f>Table510[[#This Row],[اجمالي المبلغ]]-Table510[[#This Row],[المبلغ المدفوع]]</f>
        <v>0</v>
      </c>
      <c r="N361" s="60"/>
    </row>
    <row r="362" spans="1:14" hidden="1" x14ac:dyDescent="0.3">
      <c r="A362" s="52">
        <f t="shared" si="5"/>
        <v>359</v>
      </c>
      <c r="B362" s="74" t="s">
        <v>89</v>
      </c>
      <c r="C362" s="75">
        <v>45342</v>
      </c>
      <c r="D362" s="74">
        <v>324</v>
      </c>
      <c r="E362" s="60">
        <v>50</v>
      </c>
      <c r="F362" s="76">
        <v>5</v>
      </c>
      <c r="G362" s="60">
        <v>40</v>
      </c>
      <c r="H362" s="60"/>
      <c r="I362" s="60"/>
      <c r="J362" s="60">
        <f>Table510[[#This Row],[العدد]]*Table510[[#This Row],[الفئة]]</f>
        <v>250</v>
      </c>
      <c r="K36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</v>
      </c>
      <c r="L362" s="60"/>
      <c r="M362" s="60">
        <f>Table510[[#This Row],[اجمالي المبلغ]]-Table510[[#This Row],[المبلغ المدفوع]]</f>
        <v>10000</v>
      </c>
      <c r="N362" s="60"/>
    </row>
    <row r="363" spans="1:14" hidden="1" x14ac:dyDescent="0.3">
      <c r="A363" s="52">
        <f t="shared" si="5"/>
        <v>360</v>
      </c>
      <c r="B363" s="74" t="s">
        <v>89</v>
      </c>
      <c r="C363" s="75">
        <v>45342</v>
      </c>
      <c r="D363" s="74">
        <v>324</v>
      </c>
      <c r="E363" s="60">
        <v>25</v>
      </c>
      <c r="F363" s="76">
        <v>1</v>
      </c>
      <c r="G363" s="60">
        <v>45</v>
      </c>
      <c r="H363" s="60"/>
      <c r="I363" s="60"/>
      <c r="J363" s="60">
        <f>Table510[[#This Row],[العدد]]*Table510[[#This Row],[الفئة]]</f>
        <v>25</v>
      </c>
      <c r="K36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1125</v>
      </c>
      <c r="L363" s="60"/>
      <c r="M363" s="60">
        <f>Table510[[#This Row],[اجمالي المبلغ]]-Table510[[#This Row],[المبلغ المدفوع]]</f>
        <v>1125</v>
      </c>
      <c r="N363" s="60"/>
    </row>
    <row r="364" spans="1:14" hidden="1" x14ac:dyDescent="0.3">
      <c r="A364" s="52">
        <f t="shared" si="5"/>
        <v>361</v>
      </c>
      <c r="B364" s="74" t="s">
        <v>89</v>
      </c>
      <c r="C364" s="75">
        <v>45342</v>
      </c>
      <c r="D364" s="74">
        <v>324</v>
      </c>
      <c r="E364" s="60">
        <v>2</v>
      </c>
      <c r="F364" s="76">
        <v>1.6</v>
      </c>
      <c r="G364" s="60">
        <v>38</v>
      </c>
      <c r="H364" s="60"/>
      <c r="I364" s="60"/>
      <c r="J364" s="60">
        <f>Table510[[#This Row],[العدد]]*Table510[[#This Row],[الفئة]]</f>
        <v>3.2</v>
      </c>
      <c r="K36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</v>
      </c>
      <c r="L364" s="60"/>
      <c r="M364" s="60">
        <f>Table510[[#This Row],[اجمالي المبلغ]]-Table510[[#This Row],[المبلغ المدفوع]]</f>
        <v>152</v>
      </c>
      <c r="N364" s="60"/>
    </row>
    <row r="365" spans="1:14" hidden="1" x14ac:dyDescent="0.3">
      <c r="A365" s="52">
        <f t="shared" si="5"/>
        <v>362</v>
      </c>
      <c r="B365" s="74"/>
      <c r="C365" s="75"/>
      <c r="D365" s="74"/>
      <c r="E365" s="60"/>
      <c r="F365" s="76"/>
      <c r="G365" s="60"/>
      <c r="H365" s="60"/>
      <c r="I365" s="60"/>
      <c r="J365" s="60">
        <f>Table510[[#This Row],[العدد]]*Table510[[#This Row],[الفئة]]</f>
        <v>0</v>
      </c>
      <c r="K36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65" s="60"/>
      <c r="M365" s="60">
        <f>Table510[[#This Row],[اجمالي المبلغ]]-Table510[[#This Row],[المبلغ المدفوع]]</f>
        <v>0</v>
      </c>
      <c r="N365" s="60"/>
    </row>
    <row r="366" spans="1:14" hidden="1" x14ac:dyDescent="0.3">
      <c r="A366" s="52">
        <f t="shared" si="5"/>
        <v>363</v>
      </c>
      <c r="B366" s="74" t="s">
        <v>119</v>
      </c>
      <c r="C366" s="75">
        <v>45346</v>
      </c>
      <c r="D366" s="74">
        <v>325</v>
      </c>
      <c r="E366" s="60">
        <v>65</v>
      </c>
      <c r="F366" s="76">
        <v>5</v>
      </c>
      <c r="G366" s="60">
        <v>39</v>
      </c>
      <c r="H366" s="60"/>
      <c r="I366" s="60"/>
      <c r="J366" s="60">
        <f>Table510[[#This Row],[العدد]]*Table510[[#This Row],[الفئة]]</f>
        <v>325</v>
      </c>
      <c r="K36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12675</v>
      </c>
      <c r="L366" s="60"/>
      <c r="M366" s="60">
        <f>Table510[[#This Row],[اجمالي المبلغ]]-Table510[[#This Row],[المبلغ المدفوع]]</f>
        <v>12675</v>
      </c>
      <c r="N366" s="60"/>
    </row>
    <row r="367" spans="1:14" hidden="1" x14ac:dyDescent="0.3">
      <c r="A367" s="52">
        <f t="shared" si="5"/>
        <v>364</v>
      </c>
      <c r="B367" s="74" t="s">
        <v>119</v>
      </c>
      <c r="C367" s="75">
        <v>45346</v>
      </c>
      <c r="D367" s="74">
        <v>325</v>
      </c>
      <c r="E367" s="60">
        <v>5</v>
      </c>
      <c r="F367" s="76">
        <v>0.8</v>
      </c>
      <c r="G367" s="60">
        <v>38</v>
      </c>
      <c r="H367" s="60"/>
      <c r="I367" s="60"/>
      <c r="J367" s="60">
        <f>Table510[[#This Row],[العدد]]*Table510[[#This Row],[الفئة]]</f>
        <v>4</v>
      </c>
      <c r="K36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</v>
      </c>
      <c r="L367" s="60"/>
      <c r="M367" s="60">
        <f>Table510[[#This Row],[اجمالي المبلغ]]-Table510[[#This Row],[المبلغ المدفوع]]</f>
        <v>190</v>
      </c>
      <c r="N367" s="60"/>
    </row>
    <row r="368" spans="1:14" hidden="1" x14ac:dyDescent="0.3">
      <c r="A368" s="52">
        <f t="shared" si="5"/>
        <v>365</v>
      </c>
      <c r="B368" s="74"/>
      <c r="C368" s="75"/>
      <c r="D368" s="74"/>
      <c r="E368" s="60"/>
      <c r="F368" s="76"/>
      <c r="G368" s="60"/>
      <c r="H368" s="60"/>
      <c r="I368" s="60"/>
      <c r="J368" s="60">
        <f>Table510[[#This Row],[العدد]]*Table510[[#This Row],[الفئة]]</f>
        <v>0</v>
      </c>
      <c r="K36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68" s="60"/>
      <c r="M368" s="60">
        <f>Table510[[#This Row],[اجمالي المبلغ]]-Table510[[#This Row],[المبلغ المدفوع]]</f>
        <v>0</v>
      </c>
      <c r="N368" s="60"/>
    </row>
    <row r="369" spans="1:14" hidden="1" x14ac:dyDescent="0.3">
      <c r="A369" s="52">
        <f t="shared" si="5"/>
        <v>366</v>
      </c>
      <c r="B369" s="74" t="s">
        <v>121</v>
      </c>
      <c r="C369" s="75">
        <v>45346</v>
      </c>
      <c r="D369" s="74">
        <v>326</v>
      </c>
      <c r="E369" s="60">
        <v>8</v>
      </c>
      <c r="F369" s="76">
        <v>5</v>
      </c>
      <c r="G369" s="60">
        <v>40</v>
      </c>
      <c r="H369" s="60"/>
      <c r="I369" s="60"/>
      <c r="J369" s="60">
        <f>Table510[[#This Row],[العدد]]*Table510[[#This Row],[الفئة]]</f>
        <v>40</v>
      </c>
      <c r="K36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1600</v>
      </c>
      <c r="L369" s="60">
        <f>Table510[[#This Row],[اجمالي المبلغ]]</f>
        <v>1600</v>
      </c>
      <c r="M369" s="60">
        <f>Table510[[#This Row],[اجمالي المبلغ]]-Table510[[#This Row],[المبلغ المدفوع]]</f>
        <v>0</v>
      </c>
      <c r="N369" s="60"/>
    </row>
    <row r="370" spans="1:14" hidden="1" x14ac:dyDescent="0.3">
      <c r="A370" s="52">
        <f t="shared" si="5"/>
        <v>367</v>
      </c>
      <c r="B370" s="74" t="s">
        <v>121</v>
      </c>
      <c r="C370" s="75">
        <v>45346</v>
      </c>
      <c r="D370" s="74">
        <v>326</v>
      </c>
      <c r="E370" s="60">
        <v>10</v>
      </c>
      <c r="F370" s="76">
        <v>0.8</v>
      </c>
      <c r="G370" s="60">
        <v>37</v>
      </c>
      <c r="H370" s="60"/>
      <c r="I370" s="60"/>
      <c r="J370" s="60">
        <f>Table510[[#This Row],[العدد]]*Table510[[#This Row],[الفئة]]</f>
        <v>8</v>
      </c>
      <c r="K37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370</v>
      </c>
      <c r="L370" s="60">
        <f>Table510[[#This Row],[اجمالي المبلغ]]</f>
        <v>370</v>
      </c>
      <c r="M370" s="60">
        <f>Table510[[#This Row],[اجمالي المبلغ]]-Table510[[#This Row],[المبلغ المدفوع]]</f>
        <v>0</v>
      </c>
      <c r="N370" s="60"/>
    </row>
    <row r="371" spans="1:14" hidden="1" x14ac:dyDescent="0.3">
      <c r="A371" s="52">
        <f t="shared" si="5"/>
        <v>368</v>
      </c>
      <c r="B371" s="74"/>
      <c r="C371" s="75"/>
      <c r="D371" s="74"/>
      <c r="E371" s="60"/>
      <c r="F371" s="76"/>
      <c r="G371" s="60"/>
      <c r="H371" s="60"/>
      <c r="I371" s="60"/>
      <c r="J371" s="60">
        <f>Table510[[#This Row],[العدد]]*Table510[[#This Row],[الفئة]]</f>
        <v>0</v>
      </c>
      <c r="K37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71" s="60"/>
      <c r="M371" s="60">
        <f>Table510[[#This Row],[اجمالي المبلغ]]-Table510[[#This Row],[المبلغ المدفوع]]</f>
        <v>0</v>
      </c>
      <c r="N371" s="60"/>
    </row>
    <row r="372" spans="1:14" hidden="1" x14ac:dyDescent="0.3">
      <c r="A372" s="52">
        <f t="shared" si="5"/>
        <v>369</v>
      </c>
      <c r="B372" s="74" t="s">
        <v>122</v>
      </c>
      <c r="C372" s="75">
        <v>45346</v>
      </c>
      <c r="D372" s="74">
        <v>327</v>
      </c>
      <c r="E372" s="60">
        <v>5</v>
      </c>
      <c r="F372" s="76">
        <v>5</v>
      </c>
      <c r="G372" s="60">
        <v>40</v>
      </c>
      <c r="H372" s="60"/>
      <c r="I372" s="60"/>
      <c r="J372" s="60">
        <f>Table510[[#This Row],[العدد]]*Table510[[#This Row],[الفئة]]</f>
        <v>25</v>
      </c>
      <c r="K37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372" s="60">
        <f>Table510[[#This Row],[اجمالي المبلغ]]</f>
        <v>1000</v>
      </c>
      <c r="M372" s="60">
        <f>Table510[[#This Row],[اجمالي المبلغ]]-Table510[[#This Row],[المبلغ المدفوع]]</f>
        <v>0</v>
      </c>
      <c r="N372" s="60"/>
    </row>
    <row r="373" spans="1:14" hidden="1" x14ac:dyDescent="0.3">
      <c r="A373" s="52">
        <f t="shared" si="5"/>
        <v>370</v>
      </c>
      <c r="B373" s="74" t="s">
        <v>122</v>
      </c>
      <c r="C373" s="75">
        <v>45346</v>
      </c>
      <c r="D373" s="74">
        <v>327</v>
      </c>
      <c r="E373" s="60">
        <v>10</v>
      </c>
      <c r="F373" s="76">
        <v>0.8</v>
      </c>
      <c r="G373" s="60">
        <v>37</v>
      </c>
      <c r="H373" s="60"/>
      <c r="I373" s="60"/>
      <c r="J373" s="60">
        <f>Table510[[#This Row],[العدد]]*Table510[[#This Row],[الفئة]]</f>
        <v>8</v>
      </c>
      <c r="K37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370</v>
      </c>
      <c r="L373" s="60">
        <f>Table510[[#This Row],[اجمالي المبلغ]]</f>
        <v>370</v>
      </c>
      <c r="M373" s="60">
        <f>Table510[[#This Row],[اجمالي المبلغ]]-Table510[[#This Row],[المبلغ المدفوع]]</f>
        <v>0</v>
      </c>
      <c r="N373" s="60"/>
    </row>
    <row r="374" spans="1:14" hidden="1" x14ac:dyDescent="0.3">
      <c r="A374" s="52">
        <f t="shared" si="5"/>
        <v>371</v>
      </c>
      <c r="B374" s="74" t="s">
        <v>122</v>
      </c>
      <c r="C374" s="75">
        <v>45346</v>
      </c>
      <c r="D374" s="74">
        <v>327</v>
      </c>
      <c r="E374" s="60">
        <v>6</v>
      </c>
      <c r="F374" s="76">
        <v>5</v>
      </c>
      <c r="G374" s="60">
        <v>40</v>
      </c>
      <c r="H374" s="60"/>
      <c r="I374" s="60"/>
      <c r="J374" s="60">
        <f>Table510[[#This Row],[العدد]]*Table510[[#This Row],[الفئة]]</f>
        <v>30</v>
      </c>
      <c r="K37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1200</v>
      </c>
      <c r="L374" s="60">
        <f>Table510[[#This Row],[اجمالي المبلغ]]</f>
        <v>1200</v>
      </c>
      <c r="M374" s="60">
        <f>Table510[[#This Row],[اجمالي المبلغ]]-Table510[[#This Row],[المبلغ المدفوع]]</f>
        <v>0</v>
      </c>
      <c r="N374" s="60"/>
    </row>
    <row r="375" spans="1:14" hidden="1" x14ac:dyDescent="0.3">
      <c r="A375" s="52">
        <f t="shared" si="5"/>
        <v>372</v>
      </c>
      <c r="B375" s="74" t="s">
        <v>122</v>
      </c>
      <c r="C375" s="75">
        <v>45346</v>
      </c>
      <c r="D375" s="74">
        <v>327</v>
      </c>
      <c r="E375" s="60">
        <v>10</v>
      </c>
      <c r="F375" s="76">
        <v>0.8</v>
      </c>
      <c r="G375" s="60">
        <v>38</v>
      </c>
      <c r="H375" s="60"/>
      <c r="I375" s="60"/>
      <c r="J375" s="60">
        <f>Table510[[#This Row],[العدد]]*Table510[[#This Row],[الفئة]]</f>
        <v>8</v>
      </c>
      <c r="K37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</v>
      </c>
      <c r="L375" s="60">
        <f>Table510[[#This Row],[اجمالي المبلغ]]</f>
        <v>380</v>
      </c>
      <c r="M375" s="60">
        <f>Table510[[#This Row],[اجمالي المبلغ]]-Table510[[#This Row],[المبلغ المدفوع]]</f>
        <v>0</v>
      </c>
      <c r="N375" s="60"/>
    </row>
    <row r="376" spans="1:14" hidden="1" x14ac:dyDescent="0.3">
      <c r="A376" s="52">
        <f t="shared" si="5"/>
        <v>373</v>
      </c>
      <c r="B376" s="74"/>
      <c r="C376" s="75"/>
      <c r="D376" s="74"/>
      <c r="E376" s="60"/>
      <c r="F376" s="76"/>
      <c r="G376" s="60"/>
      <c r="H376" s="60"/>
      <c r="I376" s="60"/>
      <c r="J376" s="60">
        <f>Table510[[#This Row],[العدد]]*Table510[[#This Row],[الفئة]]</f>
        <v>0</v>
      </c>
      <c r="K37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76" s="60"/>
      <c r="M376" s="60">
        <f>Table510[[#This Row],[اجمالي المبلغ]]-Table510[[#This Row],[المبلغ المدفوع]]</f>
        <v>0</v>
      </c>
      <c r="N376" s="60"/>
    </row>
    <row r="377" spans="1:14" hidden="1" x14ac:dyDescent="0.3">
      <c r="A377" s="52">
        <f t="shared" si="5"/>
        <v>374</v>
      </c>
      <c r="B377" s="74" t="s">
        <v>105</v>
      </c>
      <c r="C377" s="75">
        <v>45346</v>
      </c>
      <c r="D377" s="74">
        <v>328</v>
      </c>
      <c r="E377" s="60">
        <v>100</v>
      </c>
      <c r="F377" s="76">
        <v>0.8</v>
      </c>
      <c r="G377" s="60">
        <v>38</v>
      </c>
      <c r="H377" s="60"/>
      <c r="I377" s="60"/>
      <c r="J377" s="60">
        <f>Table510[[#This Row],[العدد]]*Table510[[#This Row],[الفئة]]</f>
        <v>80</v>
      </c>
      <c r="K37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377" s="60">
        <f>Table510[[#This Row],[اجمالي المبلغ]]</f>
        <v>3800</v>
      </c>
      <c r="M377" s="60">
        <f>Table510[[#This Row],[اجمالي المبلغ]]-Table510[[#This Row],[المبلغ المدفوع]]</f>
        <v>0</v>
      </c>
      <c r="N377" s="60"/>
    </row>
    <row r="378" spans="1:14" hidden="1" x14ac:dyDescent="0.3">
      <c r="A378" s="52">
        <f t="shared" si="5"/>
        <v>375</v>
      </c>
      <c r="B378" s="74" t="s">
        <v>105</v>
      </c>
      <c r="C378" s="75">
        <v>45346</v>
      </c>
      <c r="D378" s="74">
        <v>328</v>
      </c>
      <c r="E378" s="60">
        <v>5</v>
      </c>
      <c r="F378" s="76">
        <v>5</v>
      </c>
      <c r="G378" s="60">
        <v>40</v>
      </c>
      <c r="H378" s="60"/>
      <c r="I378" s="60"/>
      <c r="J378" s="60">
        <f>Table510[[#This Row],[العدد]]*Table510[[#This Row],[الفئة]]</f>
        <v>25</v>
      </c>
      <c r="K37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378" s="60">
        <f>Table510[[#This Row],[اجمالي المبلغ]]</f>
        <v>1000</v>
      </c>
      <c r="M378" s="60">
        <f>Table510[[#This Row],[اجمالي المبلغ]]-Table510[[#This Row],[المبلغ المدفوع]]</f>
        <v>0</v>
      </c>
      <c r="N378" s="60"/>
    </row>
    <row r="379" spans="1:14" hidden="1" x14ac:dyDescent="0.3">
      <c r="A379" s="52">
        <f t="shared" si="5"/>
        <v>376</v>
      </c>
      <c r="B379" s="74"/>
      <c r="C379" s="75"/>
      <c r="D379" s="74"/>
      <c r="E379" s="60"/>
      <c r="F379" s="76"/>
      <c r="G379" s="60"/>
      <c r="H379" s="60"/>
      <c r="I379" s="60"/>
      <c r="J379" s="60">
        <f>Table510[[#This Row],[العدد]]*Table510[[#This Row],[الفئة]]</f>
        <v>0</v>
      </c>
      <c r="K37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79" s="60"/>
      <c r="M379" s="60">
        <f>Table510[[#This Row],[اجمالي المبلغ]]-Table510[[#This Row],[المبلغ المدفوع]]</f>
        <v>0</v>
      </c>
      <c r="N379" s="60"/>
    </row>
    <row r="380" spans="1:14" hidden="1" x14ac:dyDescent="0.3">
      <c r="A380" s="52">
        <f t="shared" si="5"/>
        <v>377</v>
      </c>
      <c r="B380" s="74" t="s">
        <v>27</v>
      </c>
      <c r="C380" s="75">
        <v>45346</v>
      </c>
      <c r="D380" s="74">
        <v>329</v>
      </c>
      <c r="E380" s="60">
        <v>30</v>
      </c>
      <c r="F380" s="76">
        <v>5</v>
      </c>
      <c r="G380" s="60">
        <v>45</v>
      </c>
      <c r="H380" s="60"/>
      <c r="I380" s="60"/>
      <c r="J380" s="60">
        <f>Table510[[#This Row],[العدد]]*Table510[[#This Row],[الفئة]]</f>
        <v>150</v>
      </c>
      <c r="K38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6750</v>
      </c>
      <c r="L380" s="60">
        <v>105000</v>
      </c>
      <c r="M380" s="60">
        <f>Table510[[#This Row],[اجمالي المبلغ]]-Table510[[#This Row],[المبلغ المدفوع]]</f>
        <v>-98250</v>
      </c>
      <c r="N380" s="60"/>
    </row>
    <row r="381" spans="1:14" hidden="1" x14ac:dyDescent="0.3">
      <c r="A381" s="52">
        <f t="shared" si="5"/>
        <v>378</v>
      </c>
      <c r="B381" s="74" t="s">
        <v>27</v>
      </c>
      <c r="C381" s="75">
        <v>45346</v>
      </c>
      <c r="D381" s="74">
        <v>329</v>
      </c>
      <c r="E381" s="60">
        <v>20</v>
      </c>
      <c r="F381" s="76">
        <v>0.8</v>
      </c>
      <c r="G381" s="60">
        <v>40</v>
      </c>
      <c r="H381" s="60"/>
      <c r="I381" s="60"/>
      <c r="J381" s="60">
        <f>Table510[[#This Row],[العدد]]*Table510[[#This Row],[الفئة]]</f>
        <v>16</v>
      </c>
      <c r="K38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</v>
      </c>
      <c r="L381" s="60"/>
      <c r="M381" s="60">
        <f>Table510[[#This Row],[اجمالي المبلغ]]-Table510[[#This Row],[المبلغ المدفوع]]</f>
        <v>800</v>
      </c>
      <c r="N381" s="60"/>
    </row>
    <row r="382" spans="1:14" hidden="1" x14ac:dyDescent="0.3">
      <c r="A382" s="52">
        <f t="shared" si="5"/>
        <v>379</v>
      </c>
      <c r="B382" s="74"/>
      <c r="C382" s="75"/>
      <c r="D382" s="74"/>
      <c r="E382" s="60"/>
      <c r="F382" s="76"/>
      <c r="G382" s="60"/>
      <c r="H382" s="60"/>
      <c r="I382" s="60"/>
      <c r="J382" s="60">
        <f>Table510[[#This Row],[العدد]]*Table510[[#This Row],[الفئة]]</f>
        <v>0</v>
      </c>
      <c r="K38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82" s="60"/>
      <c r="M382" s="60">
        <f>Table510[[#This Row],[اجمالي المبلغ]]-Table510[[#This Row],[المبلغ المدفوع]]</f>
        <v>0</v>
      </c>
      <c r="N382" s="60"/>
    </row>
    <row r="383" spans="1:14" hidden="1" x14ac:dyDescent="0.3">
      <c r="A383" s="52">
        <f t="shared" si="5"/>
        <v>380</v>
      </c>
      <c r="B383" s="74" t="s">
        <v>77</v>
      </c>
      <c r="C383" s="75">
        <v>45304</v>
      </c>
      <c r="D383" s="74">
        <v>330</v>
      </c>
      <c r="E383" s="60">
        <v>4</v>
      </c>
      <c r="F383" s="76">
        <v>5</v>
      </c>
      <c r="G383" s="60">
        <v>40</v>
      </c>
      <c r="H383" s="60"/>
      <c r="I383" s="60"/>
      <c r="J383" s="60">
        <f>Table510[[#This Row],[العدد]]*Table510[[#This Row],[الفئة]]</f>
        <v>20</v>
      </c>
      <c r="K38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</v>
      </c>
      <c r="L383" s="60">
        <v>800</v>
      </c>
      <c r="M383" s="60">
        <f>Table510[[#This Row],[اجمالي المبلغ]]-Table510[[#This Row],[المبلغ المدفوع]]</f>
        <v>0</v>
      </c>
      <c r="N383" s="60"/>
    </row>
    <row r="384" spans="1:14" hidden="1" x14ac:dyDescent="0.3">
      <c r="A384" s="52">
        <f t="shared" si="5"/>
        <v>381</v>
      </c>
      <c r="B384" s="74"/>
      <c r="C384" s="75"/>
      <c r="D384" s="74"/>
      <c r="E384" s="60"/>
      <c r="F384" s="76"/>
      <c r="G384" s="60"/>
      <c r="H384" s="60"/>
      <c r="I384" s="60"/>
      <c r="J384" s="60">
        <f>Table510[[#This Row],[العدد]]*Table510[[#This Row],[الفئة]]</f>
        <v>0</v>
      </c>
      <c r="K38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84" s="60"/>
      <c r="M384" s="60">
        <f>Table510[[#This Row],[اجمالي المبلغ]]-Table510[[#This Row],[المبلغ المدفوع]]</f>
        <v>0</v>
      </c>
      <c r="N384" s="60"/>
    </row>
    <row r="385" spans="1:14" hidden="1" x14ac:dyDescent="0.3">
      <c r="A385" s="52">
        <f t="shared" si="5"/>
        <v>382</v>
      </c>
      <c r="B385" s="74" t="s">
        <v>31</v>
      </c>
      <c r="C385" s="75">
        <v>45308</v>
      </c>
      <c r="D385" s="74">
        <v>331</v>
      </c>
      <c r="E385" s="60">
        <v>20</v>
      </c>
      <c r="F385" s="76">
        <v>5</v>
      </c>
      <c r="G385" s="60">
        <v>40</v>
      </c>
      <c r="H385" s="60"/>
      <c r="I385" s="60"/>
      <c r="J385" s="60">
        <f>Table510[[#This Row],[العدد]]*Table510[[#This Row],[الفئة]]</f>
        <v>100</v>
      </c>
      <c r="K38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385" s="60">
        <f>Table510[[#This Row],[اجمالي المبلغ]]</f>
        <v>4000</v>
      </c>
      <c r="M385" s="60">
        <f>Table510[[#This Row],[اجمالي المبلغ]]-Table510[[#This Row],[المبلغ المدفوع]]</f>
        <v>0</v>
      </c>
      <c r="N385" s="60"/>
    </row>
    <row r="386" spans="1:14" hidden="1" x14ac:dyDescent="0.3">
      <c r="A386" s="52">
        <f t="shared" si="5"/>
        <v>383</v>
      </c>
      <c r="B386" s="74" t="s">
        <v>31</v>
      </c>
      <c r="C386" s="75">
        <v>45308</v>
      </c>
      <c r="D386" s="74">
        <v>331</v>
      </c>
      <c r="E386" s="60">
        <v>10</v>
      </c>
      <c r="F386" s="76">
        <v>1.6</v>
      </c>
      <c r="G386" s="60">
        <v>37</v>
      </c>
      <c r="H386" s="60"/>
      <c r="I386" s="60"/>
      <c r="J386" s="60">
        <f>Table510[[#This Row],[العدد]]*Table510[[#This Row],[الفئة]]</f>
        <v>16</v>
      </c>
      <c r="K38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740</v>
      </c>
      <c r="L386" s="60">
        <f>Table510[[#This Row],[اجمالي المبلغ]]</f>
        <v>740</v>
      </c>
      <c r="M386" s="60">
        <f>Table510[[#This Row],[اجمالي المبلغ]]-Table510[[#This Row],[المبلغ المدفوع]]</f>
        <v>0</v>
      </c>
      <c r="N386" s="60"/>
    </row>
    <row r="387" spans="1:14" hidden="1" x14ac:dyDescent="0.3">
      <c r="A387" s="52">
        <f t="shared" si="5"/>
        <v>384</v>
      </c>
      <c r="B387" s="74" t="s">
        <v>31</v>
      </c>
      <c r="C387" s="75">
        <v>45308</v>
      </c>
      <c r="D387" s="74">
        <v>331</v>
      </c>
      <c r="E387" s="60">
        <v>1</v>
      </c>
      <c r="F387" s="76">
        <v>0.8</v>
      </c>
      <c r="G387" s="60">
        <v>37</v>
      </c>
      <c r="H387" s="60"/>
      <c r="I387" s="60"/>
      <c r="J387" s="60">
        <f>Table510[[#This Row],[العدد]]*Table510[[#This Row],[الفئة]]</f>
        <v>0.8</v>
      </c>
      <c r="K38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37</v>
      </c>
      <c r="L387" s="60">
        <f>Table510[[#This Row],[اجمالي المبلغ]]</f>
        <v>37</v>
      </c>
      <c r="M387" s="60">
        <f>Table510[[#This Row],[اجمالي المبلغ]]-Table510[[#This Row],[المبلغ المدفوع]]</f>
        <v>0</v>
      </c>
      <c r="N387" s="60"/>
    </row>
    <row r="388" spans="1:14" hidden="1" x14ac:dyDescent="0.3">
      <c r="A388" s="52">
        <f t="shared" si="5"/>
        <v>385</v>
      </c>
      <c r="B388" s="74" t="s">
        <v>31</v>
      </c>
      <c r="C388" s="75">
        <v>45308</v>
      </c>
      <c r="D388" s="74">
        <v>331</v>
      </c>
      <c r="E388" s="60">
        <v>30</v>
      </c>
      <c r="F388" s="76">
        <v>1.6</v>
      </c>
      <c r="G388" s="60">
        <v>37</v>
      </c>
      <c r="H388" s="60"/>
      <c r="I388" s="60"/>
      <c r="J388" s="60">
        <f>Table510[[#This Row],[العدد]]*Table510[[#This Row],[الفئة]]</f>
        <v>48</v>
      </c>
      <c r="K38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2220</v>
      </c>
      <c r="L388" s="60">
        <f>Table510[[#This Row],[اجمالي المبلغ]]</f>
        <v>2220</v>
      </c>
      <c r="M388" s="60">
        <f>Table510[[#This Row],[اجمالي المبلغ]]-Table510[[#This Row],[المبلغ المدفوع]]</f>
        <v>0</v>
      </c>
      <c r="N388" s="60"/>
    </row>
    <row r="389" spans="1:14" hidden="1" x14ac:dyDescent="0.3">
      <c r="A389" s="52">
        <f t="shared" si="5"/>
        <v>386</v>
      </c>
      <c r="B389" s="74" t="s">
        <v>31</v>
      </c>
      <c r="C389" s="75">
        <v>45308</v>
      </c>
      <c r="D389" s="74">
        <v>331</v>
      </c>
      <c r="E389" s="60">
        <v>1</v>
      </c>
      <c r="F389" s="76">
        <v>5</v>
      </c>
      <c r="G389" s="60">
        <v>40</v>
      </c>
      <c r="H389" s="60"/>
      <c r="I389" s="60"/>
      <c r="J389" s="60">
        <f>Table510[[#This Row],[العدد]]*Table510[[#This Row],[الفئة]]</f>
        <v>5</v>
      </c>
      <c r="K38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389" s="60">
        <f>Table510[[#This Row],[اجمالي المبلغ]]</f>
        <v>200</v>
      </c>
      <c r="M389" s="60">
        <f>Table510[[#This Row],[اجمالي المبلغ]]-Table510[[#This Row],[المبلغ المدفوع]]</f>
        <v>0</v>
      </c>
      <c r="N389" s="60"/>
    </row>
    <row r="390" spans="1:14" hidden="1" x14ac:dyDescent="0.3">
      <c r="A390" s="52">
        <f t="shared" ref="A390:A453" si="6">A389+1</f>
        <v>387</v>
      </c>
      <c r="B390" s="74" t="s">
        <v>31</v>
      </c>
      <c r="C390" s="75">
        <v>45308</v>
      </c>
      <c r="D390" s="74">
        <v>331</v>
      </c>
      <c r="E390" s="60">
        <v>1</v>
      </c>
      <c r="F390" s="76">
        <v>1.6</v>
      </c>
      <c r="G390" s="60">
        <v>40</v>
      </c>
      <c r="H390" s="60"/>
      <c r="I390" s="60"/>
      <c r="J390" s="60">
        <f>Table510[[#This Row],[العدد]]*Table510[[#This Row],[الفئة]]</f>
        <v>1.6</v>
      </c>
      <c r="K39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</v>
      </c>
      <c r="L390" s="60">
        <f>Table510[[#This Row],[اجمالي المبلغ]]</f>
        <v>80</v>
      </c>
      <c r="M390" s="60">
        <f>Table510[[#This Row],[اجمالي المبلغ]]-Table510[[#This Row],[المبلغ المدفوع]]</f>
        <v>0</v>
      </c>
      <c r="N390" s="60"/>
    </row>
    <row r="391" spans="1:14" hidden="1" x14ac:dyDescent="0.3">
      <c r="A391" s="52">
        <f t="shared" si="6"/>
        <v>388</v>
      </c>
      <c r="B391" s="74" t="s">
        <v>31</v>
      </c>
      <c r="C391" s="75">
        <v>45308</v>
      </c>
      <c r="D391" s="74">
        <v>331</v>
      </c>
      <c r="E391" s="60">
        <v>0.5</v>
      </c>
      <c r="F391" s="76">
        <v>1</v>
      </c>
      <c r="G391" s="60">
        <v>40</v>
      </c>
      <c r="H391" s="60"/>
      <c r="I391" s="60"/>
      <c r="J391" s="60">
        <f>Table510[[#This Row],[العدد]]*Table510[[#This Row],[الفئة]]</f>
        <v>0.5</v>
      </c>
      <c r="K39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</v>
      </c>
      <c r="L391" s="60">
        <f>Table510[[#This Row],[اجمالي المبلغ]]</f>
        <v>20</v>
      </c>
      <c r="M391" s="60">
        <f>Table510[[#This Row],[اجمالي المبلغ]]-Table510[[#This Row],[المبلغ المدفوع]]</f>
        <v>0</v>
      </c>
      <c r="N391" s="60"/>
    </row>
    <row r="392" spans="1:14" hidden="1" x14ac:dyDescent="0.3">
      <c r="A392" s="52">
        <f t="shared" si="6"/>
        <v>389</v>
      </c>
      <c r="B392" s="74"/>
      <c r="C392" s="75"/>
      <c r="D392" s="74"/>
      <c r="E392" s="60"/>
      <c r="F392" s="76"/>
      <c r="G392" s="60"/>
      <c r="H392" s="60"/>
      <c r="I392" s="60"/>
      <c r="J392" s="60">
        <f>Table510[[#This Row],[العدد]]*Table510[[#This Row],[الفئة]]</f>
        <v>0</v>
      </c>
      <c r="K39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92" s="60"/>
      <c r="M392" s="60">
        <f>Table510[[#This Row],[اجمالي المبلغ]]-Table510[[#This Row],[المبلغ المدفوع]]</f>
        <v>0</v>
      </c>
      <c r="N392" s="60"/>
    </row>
    <row r="393" spans="1:14" hidden="1" x14ac:dyDescent="0.3">
      <c r="A393" s="52">
        <f t="shared" si="6"/>
        <v>390</v>
      </c>
      <c r="B393" s="74" t="s">
        <v>38</v>
      </c>
      <c r="C393" s="75">
        <v>45309</v>
      </c>
      <c r="D393" s="74">
        <v>332</v>
      </c>
      <c r="E393" s="60">
        <v>2</v>
      </c>
      <c r="F393" s="76">
        <v>5</v>
      </c>
      <c r="G393" s="60">
        <v>40</v>
      </c>
      <c r="H393" s="60"/>
      <c r="I393" s="60"/>
      <c r="J393" s="60">
        <f>Table510[[#This Row],[العدد]]*Table510[[#This Row],[الفئة]]</f>
        <v>10</v>
      </c>
      <c r="K39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393" s="60">
        <v>400</v>
      </c>
      <c r="M393" s="60">
        <f>Table510[[#This Row],[اجمالي المبلغ]]-Table510[[#This Row],[المبلغ المدفوع]]</f>
        <v>0</v>
      </c>
      <c r="N393" s="60"/>
    </row>
    <row r="394" spans="1:14" hidden="1" x14ac:dyDescent="0.3">
      <c r="A394" s="52">
        <f t="shared" si="6"/>
        <v>391</v>
      </c>
      <c r="B394" s="74"/>
      <c r="C394" s="75"/>
      <c r="D394" s="74"/>
      <c r="E394" s="60"/>
      <c r="F394" s="76"/>
      <c r="G394" s="60"/>
      <c r="H394" s="60"/>
      <c r="I394" s="60"/>
      <c r="J394" s="60">
        <f>Table510[[#This Row],[العدد]]*Table510[[#This Row],[الفئة]]</f>
        <v>0</v>
      </c>
      <c r="K39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94" s="60"/>
      <c r="M394" s="60">
        <f>Table510[[#This Row],[اجمالي المبلغ]]-Table510[[#This Row],[المبلغ المدفوع]]</f>
        <v>0</v>
      </c>
      <c r="N394" s="60"/>
    </row>
    <row r="395" spans="1:14" hidden="1" x14ac:dyDescent="0.3">
      <c r="A395" s="52">
        <f t="shared" si="6"/>
        <v>392</v>
      </c>
      <c r="B395" s="74" t="s">
        <v>123</v>
      </c>
      <c r="C395" s="75">
        <v>45313</v>
      </c>
      <c r="D395" s="74">
        <v>333</v>
      </c>
      <c r="E395" s="60">
        <v>5</v>
      </c>
      <c r="F395" s="76">
        <v>5</v>
      </c>
      <c r="G395" s="60">
        <v>40</v>
      </c>
      <c r="H395" s="60"/>
      <c r="I395" s="60"/>
      <c r="J395" s="60">
        <f>Table510[[#This Row],[العدد]]*Table510[[#This Row],[الفئة]]</f>
        <v>25</v>
      </c>
      <c r="K39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395" s="60"/>
      <c r="M395" s="60">
        <f>Table510[[#This Row],[اجمالي المبلغ]]-Table510[[#This Row],[المبلغ المدفوع]]</f>
        <v>1000</v>
      </c>
      <c r="N395" s="60"/>
    </row>
    <row r="396" spans="1:14" hidden="1" x14ac:dyDescent="0.3">
      <c r="A396" s="52">
        <f t="shared" si="6"/>
        <v>393</v>
      </c>
      <c r="B396" s="74"/>
      <c r="C396" s="75"/>
      <c r="D396" s="74"/>
      <c r="E396" s="60"/>
      <c r="F396" s="76"/>
      <c r="G396" s="60"/>
      <c r="H396" s="60"/>
      <c r="I396" s="60"/>
      <c r="J396" s="60">
        <f>Table510[[#This Row],[العدد]]*Table510[[#This Row],[الفئة]]</f>
        <v>0</v>
      </c>
      <c r="K39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396" s="60"/>
      <c r="M396" s="60">
        <f>Table510[[#This Row],[اجمالي المبلغ]]-Table510[[#This Row],[المبلغ المدفوع]]</f>
        <v>0</v>
      </c>
      <c r="N396" s="60"/>
    </row>
    <row r="397" spans="1:14" hidden="1" x14ac:dyDescent="0.3">
      <c r="A397" s="52">
        <f t="shared" si="6"/>
        <v>394</v>
      </c>
      <c r="B397" s="74" t="s">
        <v>31</v>
      </c>
      <c r="C397" s="75">
        <v>45314</v>
      </c>
      <c r="D397" s="74">
        <v>334</v>
      </c>
      <c r="E397" s="60">
        <v>3</v>
      </c>
      <c r="F397" s="76">
        <v>5</v>
      </c>
      <c r="G397" s="60">
        <v>40</v>
      </c>
      <c r="H397" s="60"/>
      <c r="I397" s="60"/>
      <c r="J397" s="60">
        <f>Table510[[#This Row],[العدد]]*Table510[[#This Row],[الفئة]]</f>
        <v>15</v>
      </c>
      <c r="K39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397" s="60">
        <f>Table510[[#This Row],[اجمالي المبلغ]]</f>
        <v>600</v>
      </c>
      <c r="M397" s="60">
        <f>Table510[[#This Row],[اجمالي المبلغ]]-Table510[[#This Row],[المبلغ المدفوع]]</f>
        <v>0</v>
      </c>
      <c r="N397" s="60"/>
    </row>
    <row r="398" spans="1:14" hidden="1" x14ac:dyDescent="0.3">
      <c r="A398" s="52">
        <f t="shared" si="6"/>
        <v>395</v>
      </c>
      <c r="B398" s="74" t="s">
        <v>31</v>
      </c>
      <c r="C398" s="75">
        <v>45314</v>
      </c>
      <c r="D398" s="74">
        <v>334</v>
      </c>
      <c r="E398" s="60">
        <v>2</v>
      </c>
      <c r="F398" s="76">
        <v>5</v>
      </c>
      <c r="G398" s="60">
        <v>45</v>
      </c>
      <c r="H398" s="60"/>
      <c r="I398" s="60"/>
      <c r="J398" s="60">
        <f>Table510[[#This Row],[العدد]]*Table510[[#This Row],[الفئة]]</f>
        <v>10</v>
      </c>
      <c r="K39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450</v>
      </c>
      <c r="L398" s="60">
        <f>Table510[[#This Row],[اجمالي المبلغ]]</f>
        <v>450</v>
      </c>
      <c r="M398" s="60">
        <f>Table510[[#This Row],[اجمالي المبلغ]]-Table510[[#This Row],[المبلغ المدفوع]]</f>
        <v>0</v>
      </c>
      <c r="N398" s="60"/>
    </row>
    <row r="399" spans="1:14" hidden="1" x14ac:dyDescent="0.3">
      <c r="A399" s="52">
        <f t="shared" si="6"/>
        <v>396</v>
      </c>
      <c r="B399" s="74" t="s">
        <v>31</v>
      </c>
      <c r="C399" s="75">
        <v>45314</v>
      </c>
      <c r="D399" s="74">
        <v>334</v>
      </c>
      <c r="E399" s="60">
        <v>3</v>
      </c>
      <c r="F399" s="76">
        <v>5</v>
      </c>
      <c r="G399" s="60">
        <v>40</v>
      </c>
      <c r="H399" s="60"/>
      <c r="I399" s="60"/>
      <c r="J399" s="60">
        <f>Table510[[#This Row],[العدد]]*Table510[[#This Row],[الفئة]]</f>
        <v>15</v>
      </c>
      <c r="K39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399" s="60">
        <f>Table510[[#This Row],[اجمالي المبلغ]]</f>
        <v>600</v>
      </c>
      <c r="M399" s="60">
        <f>Table510[[#This Row],[اجمالي المبلغ]]-Table510[[#This Row],[المبلغ المدفوع]]</f>
        <v>0</v>
      </c>
      <c r="N399" s="60"/>
    </row>
    <row r="400" spans="1:14" hidden="1" x14ac:dyDescent="0.3">
      <c r="A400" s="52">
        <f t="shared" si="6"/>
        <v>397</v>
      </c>
      <c r="B400" s="74" t="s">
        <v>31</v>
      </c>
      <c r="C400" s="75">
        <v>45314</v>
      </c>
      <c r="D400" s="74">
        <v>334</v>
      </c>
      <c r="E400" s="60">
        <v>2</v>
      </c>
      <c r="F400" s="76">
        <v>5</v>
      </c>
      <c r="G400" s="60">
        <v>40</v>
      </c>
      <c r="H400" s="60"/>
      <c r="I400" s="60"/>
      <c r="J400" s="60">
        <f>Table510[[#This Row],[العدد]]*Table510[[#This Row],[الفئة]]</f>
        <v>10</v>
      </c>
      <c r="K40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400" s="60">
        <f>Table510[[#This Row],[اجمالي المبلغ]]</f>
        <v>400</v>
      </c>
      <c r="M400" s="60">
        <f>Table510[[#This Row],[اجمالي المبلغ]]-Table510[[#This Row],[المبلغ المدفوع]]</f>
        <v>0</v>
      </c>
      <c r="N400" s="60"/>
    </row>
    <row r="401" spans="1:14" hidden="1" x14ac:dyDescent="0.3">
      <c r="A401" s="52">
        <f t="shared" si="6"/>
        <v>398</v>
      </c>
      <c r="B401" s="74" t="s">
        <v>31</v>
      </c>
      <c r="C401" s="75">
        <v>45314</v>
      </c>
      <c r="D401" s="74">
        <v>334</v>
      </c>
      <c r="E401" s="60">
        <v>3</v>
      </c>
      <c r="F401" s="76">
        <v>5</v>
      </c>
      <c r="G401" s="60">
        <v>45</v>
      </c>
      <c r="H401" s="60"/>
      <c r="I401" s="60"/>
      <c r="J401" s="60">
        <f>Table510[[#This Row],[العدد]]*Table510[[#This Row],[الفئة]]</f>
        <v>15</v>
      </c>
      <c r="K40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675</v>
      </c>
      <c r="L401" s="60">
        <f>Table510[[#This Row],[اجمالي المبلغ]]</f>
        <v>675</v>
      </c>
      <c r="M401" s="60">
        <f>Table510[[#This Row],[اجمالي المبلغ]]-Table510[[#This Row],[المبلغ المدفوع]]</f>
        <v>0</v>
      </c>
      <c r="N401" s="60"/>
    </row>
    <row r="402" spans="1:14" hidden="1" x14ac:dyDescent="0.3">
      <c r="A402" s="52">
        <f t="shared" si="6"/>
        <v>399</v>
      </c>
      <c r="B402" s="74"/>
      <c r="C402" s="75"/>
      <c r="D402" s="74"/>
      <c r="E402" s="60"/>
      <c r="F402" s="76"/>
      <c r="G402" s="60"/>
      <c r="H402" s="60"/>
      <c r="I402" s="60"/>
      <c r="J402" s="60">
        <f>Table510[[#This Row],[العدد]]*Table510[[#This Row],[الفئة]]</f>
        <v>0</v>
      </c>
      <c r="K40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2" s="60">
        <f>Table510[[#This Row],[اجمالي المبلغ]]</f>
        <v>0</v>
      </c>
      <c r="M402" s="60">
        <f>Table510[[#This Row],[اجمالي المبلغ]]-Table510[[#This Row],[المبلغ المدفوع]]</f>
        <v>0</v>
      </c>
      <c r="N402" s="60"/>
    </row>
    <row r="403" spans="1:14" hidden="1" x14ac:dyDescent="0.3">
      <c r="A403" s="52">
        <f t="shared" si="6"/>
        <v>400</v>
      </c>
      <c r="B403" s="74" t="s">
        <v>113</v>
      </c>
      <c r="C403" s="75">
        <v>45314</v>
      </c>
      <c r="D403" s="74">
        <v>335</v>
      </c>
      <c r="E403" s="60">
        <v>59</v>
      </c>
      <c r="F403" s="76">
        <v>5</v>
      </c>
      <c r="G403" s="60">
        <v>40</v>
      </c>
      <c r="H403" s="60"/>
      <c r="I403" s="60"/>
      <c r="J403" s="60">
        <f>Table510[[#This Row],[العدد]]*Table510[[#This Row],[الفئة]]</f>
        <v>295</v>
      </c>
      <c r="K40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11800</v>
      </c>
      <c r="L403" s="60">
        <v>11800</v>
      </c>
      <c r="M403" s="60">
        <f>Table510[[#This Row],[اجمالي المبلغ]]-Table510[[#This Row],[المبلغ المدفوع]]</f>
        <v>0</v>
      </c>
      <c r="N403" s="60"/>
    </row>
    <row r="404" spans="1:14" hidden="1" x14ac:dyDescent="0.3">
      <c r="A404" s="52">
        <f t="shared" si="6"/>
        <v>401</v>
      </c>
      <c r="B404" s="74"/>
      <c r="C404" s="75"/>
      <c r="D404" s="74"/>
      <c r="E404" s="60"/>
      <c r="F404" s="76"/>
      <c r="G404" s="60"/>
      <c r="H404" s="60"/>
      <c r="I404" s="60"/>
      <c r="J404" s="60">
        <f>Table510[[#This Row],[العدد]]*Table510[[#This Row],[الفئة]]</f>
        <v>0</v>
      </c>
      <c r="K40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4" s="60"/>
      <c r="M404" s="60">
        <f>Table510[[#This Row],[اجمالي المبلغ]]-Table510[[#This Row],[المبلغ المدفوع]]</f>
        <v>0</v>
      </c>
      <c r="N404" s="60"/>
    </row>
    <row r="405" spans="1:14" hidden="1" x14ac:dyDescent="0.3">
      <c r="A405" s="52">
        <f t="shared" si="6"/>
        <v>402</v>
      </c>
      <c r="B405" s="74" t="s">
        <v>75</v>
      </c>
      <c r="C405" s="75">
        <v>45319</v>
      </c>
      <c r="D405" s="74">
        <v>336</v>
      </c>
      <c r="E405" s="60">
        <v>35</v>
      </c>
      <c r="F405" s="76"/>
      <c r="G405" s="60"/>
      <c r="H405" s="60"/>
      <c r="I405" s="60"/>
      <c r="J405" s="60">
        <f>Table510[[#This Row],[العدد]]*Table510[[#This Row],[الفئة]]</f>
        <v>0</v>
      </c>
      <c r="K40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5" s="60"/>
      <c r="M405" s="60">
        <f>Table510[[#This Row],[اجمالي المبلغ]]-Table510[[#This Row],[المبلغ المدفوع]]</f>
        <v>0</v>
      </c>
      <c r="N405" s="60"/>
    </row>
    <row r="406" spans="1:14" hidden="1" x14ac:dyDescent="0.3">
      <c r="A406" s="52">
        <f t="shared" si="6"/>
        <v>403</v>
      </c>
      <c r="B406" s="74" t="s">
        <v>75</v>
      </c>
      <c r="C406" s="75">
        <v>45322</v>
      </c>
      <c r="D406" s="74">
        <v>336</v>
      </c>
      <c r="E406" s="60">
        <v>63</v>
      </c>
      <c r="F406" s="76"/>
      <c r="G406" s="60"/>
      <c r="H406" s="60"/>
      <c r="I406" s="60"/>
      <c r="J406" s="60">
        <f>Table510[[#This Row],[العدد]]*Table510[[#This Row],[الفئة]]</f>
        <v>0</v>
      </c>
      <c r="K40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6" s="60"/>
      <c r="M406" s="60">
        <f>Table510[[#This Row],[اجمالي المبلغ]]-Table510[[#This Row],[المبلغ المدفوع]]</f>
        <v>0</v>
      </c>
      <c r="N406" s="60"/>
    </row>
    <row r="407" spans="1:14" hidden="1" x14ac:dyDescent="0.3">
      <c r="A407" s="52">
        <f t="shared" si="6"/>
        <v>404</v>
      </c>
      <c r="B407" s="74" t="s">
        <v>75</v>
      </c>
      <c r="C407" s="75">
        <v>45308</v>
      </c>
      <c r="D407" s="74">
        <v>336</v>
      </c>
      <c r="E407" s="60">
        <v>8</v>
      </c>
      <c r="F407" s="76"/>
      <c r="G407" s="60"/>
      <c r="H407" s="60"/>
      <c r="I407" s="60"/>
      <c r="J407" s="60">
        <f>Table510[[#This Row],[العدد]]*Table510[[#This Row],[الفئة]]</f>
        <v>0</v>
      </c>
      <c r="K40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7" s="60"/>
      <c r="M407" s="60">
        <f>Table510[[#This Row],[اجمالي المبلغ]]-Table510[[#This Row],[المبلغ المدفوع]]</f>
        <v>0</v>
      </c>
      <c r="N407" s="60"/>
    </row>
    <row r="408" spans="1:14" hidden="1" x14ac:dyDescent="0.3">
      <c r="A408" s="52">
        <f t="shared" si="6"/>
        <v>405</v>
      </c>
      <c r="B408" s="74" t="s">
        <v>75</v>
      </c>
      <c r="C408" s="75">
        <v>45342</v>
      </c>
      <c r="D408" s="74">
        <v>336</v>
      </c>
      <c r="E408" s="60">
        <v>19</v>
      </c>
      <c r="F408" s="76"/>
      <c r="G408" s="60"/>
      <c r="H408" s="60"/>
      <c r="I408" s="60"/>
      <c r="J408" s="60">
        <f>Table510[[#This Row],[العدد]]*Table510[[#This Row],[الفئة]]</f>
        <v>0</v>
      </c>
      <c r="K40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8" s="60"/>
      <c r="M408" s="60">
        <f>Table510[[#This Row],[اجمالي المبلغ]]-Table510[[#This Row],[المبلغ المدفوع]]</f>
        <v>0</v>
      </c>
      <c r="N408" s="60"/>
    </row>
    <row r="409" spans="1:14" hidden="1" x14ac:dyDescent="0.3">
      <c r="A409" s="52">
        <f t="shared" si="6"/>
        <v>406</v>
      </c>
      <c r="B409" s="74" t="s">
        <v>75</v>
      </c>
      <c r="C409" s="75">
        <v>45345</v>
      </c>
      <c r="D409" s="74">
        <v>336</v>
      </c>
      <c r="E409" s="60">
        <v>4</v>
      </c>
      <c r="F409" s="76"/>
      <c r="G409" s="60"/>
      <c r="H409" s="60"/>
      <c r="I409" s="60"/>
      <c r="J409" s="60">
        <f>Table510[[#This Row],[العدد]]*Table510[[#This Row],[الفئة]]</f>
        <v>0</v>
      </c>
      <c r="K40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09" s="60"/>
      <c r="M409" s="60">
        <f>Table510[[#This Row],[اجمالي المبلغ]]-Table510[[#This Row],[المبلغ المدفوع]]</f>
        <v>0</v>
      </c>
      <c r="N409" s="60"/>
    </row>
    <row r="410" spans="1:14" hidden="1" x14ac:dyDescent="0.3">
      <c r="A410" s="52">
        <f t="shared" si="6"/>
        <v>407</v>
      </c>
      <c r="B410" s="74"/>
      <c r="C410" s="75"/>
      <c r="D410" s="74"/>
      <c r="E410" s="60"/>
      <c r="F410" s="76"/>
      <c r="G410" s="60"/>
      <c r="H410" s="60"/>
      <c r="I410" s="60"/>
      <c r="J410" s="60">
        <f>Table510[[#This Row],[العدد]]*Table510[[#This Row],[الفئة]]</f>
        <v>0</v>
      </c>
      <c r="K41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0" s="60"/>
      <c r="M410" s="60">
        <f>Table510[[#This Row],[اجمالي المبلغ]]-Table510[[#This Row],[المبلغ المدفوع]]</f>
        <v>0</v>
      </c>
      <c r="N410" s="60"/>
    </row>
    <row r="411" spans="1:14" hidden="1" x14ac:dyDescent="0.3">
      <c r="A411" s="52">
        <f t="shared" si="6"/>
        <v>408</v>
      </c>
      <c r="B411" s="74" t="s">
        <v>49</v>
      </c>
      <c r="C411" s="75">
        <v>45319</v>
      </c>
      <c r="D411" s="74">
        <v>337</v>
      </c>
      <c r="E411" s="60">
        <v>30</v>
      </c>
      <c r="F411" s="76"/>
      <c r="G411" s="60"/>
      <c r="H411" s="60"/>
      <c r="I411" s="60"/>
      <c r="J411" s="60">
        <f>Table510[[#This Row],[العدد]]*Table510[[#This Row],[الفئة]]</f>
        <v>0</v>
      </c>
      <c r="K41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1" s="60"/>
      <c r="M411" s="60">
        <f>Table510[[#This Row],[اجمالي المبلغ]]-Table510[[#This Row],[المبلغ المدفوع]]</f>
        <v>0</v>
      </c>
      <c r="N411" s="60"/>
    </row>
    <row r="412" spans="1:14" hidden="1" x14ac:dyDescent="0.3">
      <c r="A412" s="52">
        <f t="shared" si="6"/>
        <v>409</v>
      </c>
      <c r="B412" s="74" t="s">
        <v>49</v>
      </c>
      <c r="C412" s="75">
        <v>45321</v>
      </c>
      <c r="D412" s="74">
        <v>337</v>
      </c>
      <c r="E412" s="60">
        <v>5</v>
      </c>
      <c r="F412" s="76"/>
      <c r="G412" s="60"/>
      <c r="H412" s="60"/>
      <c r="I412" s="60"/>
      <c r="J412" s="60">
        <f>Table510[[#This Row],[العدد]]*Table510[[#This Row],[الفئة]]</f>
        <v>0</v>
      </c>
      <c r="K41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2" s="60"/>
      <c r="M412" s="60">
        <f>Table510[[#This Row],[اجمالي المبلغ]]-Table510[[#This Row],[المبلغ المدفوع]]</f>
        <v>0</v>
      </c>
      <c r="N412" s="60"/>
    </row>
    <row r="413" spans="1:14" hidden="1" x14ac:dyDescent="0.3">
      <c r="A413" s="52">
        <f t="shared" si="6"/>
        <v>410</v>
      </c>
      <c r="B413" s="74" t="s">
        <v>49</v>
      </c>
      <c r="C413" s="75">
        <v>45330</v>
      </c>
      <c r="D413" s="74">
        <v>337</v>
      </c>
      <c r="E413" s="60">
        <v>13</v>
      </c>
      <c r="F413" s="76"/>
      <c r="G413" s="60"/>
      <c r="H413" s="60"/>
      <c r="I413" s="60"/>
      <c r="J413" s="60">
        <f>Table510[[#This Row],[العدد]]*Table510[[#This Row],[الفئة]]</f>
        <v>0</v>
      </c>
      <c r="K41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3" s="60"/>
      <c r="M413" s="60">
        <f>Table510[[#This Row],[اجمالي المبلغ]]-Table510[[#This Row],[المبلغ المدفوع]]</f>
        <v>0</v>
      </c>
      <c r="N413" s="60"/>
    </row>
    <row r="414" spans="1:14" hidden="1" x14ac:dyDescent="0.3">
      <c r="A414" s="52">
        <f t="shared" si="6"/>
        <v>411</v>
      </c>
      <c r="B414" s="74" t="s">
        <v>49</v>
      </c>
      <c r="C414" s="75">
        <v>45330</v>
      </c>
      <c r="D414" s="74">
        <v>337</v>
      </c>
      <c r="E414" s="60">
        <v>30</v>
      </c>
      <c r="F414" s="76"/>
      <c r="G414" s="60"/>
      <c r="H414" s="60"/>
      <c r="I414" s="60"/>
      <c r="J414" s="60">
        <f>Table510[[#This Row],[العدد]]*Table510[[#This Row],[الفئة]]</f>
        <v>0</v>
      </c>
      <c r="K41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4" s="60"/>
      <c r="M414" s="60">
        <f>Table510[[#This Row],[اجمالي المبلغ]]-Table510[[#This Row],[المبلغ المدفوع]]</f>
        <v>0</v>
      </c>
      <c r="N414" s="60"/>
    </row>
    <row r="415" spans="1:14" hidden="1" x14ac:dyDescent="0.3">
      <c r="A415" s="52">
        <f t="shared" si="6"/>
        <v>412</v>
      </c>
      <c r="B415" s="74" t="s">
        <v>49</v>
      </c>
      <c r="C415" s="75">
        <v>45339</v>
      </c>
      <c r="D415" s="74">
        <v>337</v>
      </c>
      <c r="E415" s="60">
        <v>7</v>
      </c>
      <c r="F415" s="76"/>
      <c r="G415" s="60"/>
      <c r="H415" s="60"/>
      <c r="I415" s="60"/>
      <c r="J415" s="60">
        <f>Table510[[#This Row],[العدد]]*Table510[[#This Row],[الفئة]]</f>
        <v>0</v>
      </c>
      <c r="K41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5" s="60"/>
      <c r="M415" s="60">
        <f>Table510[[#This Row],[اجمالي المبلغ]]-Table510[[#This Row],[المبلغ المدفوع]]</f>
        <v>0</v>
      </c>
      <c r="N415" s="60"/>
    </row>
    <row r="416" spans="1:14" hidden="1" x14ac:dyDescent="0.3">
      <c r="A416" s="52">
        <f t="shared" si="6"/>
        <v>413</v>
      </c>
      <c r="B416" s="74" t="s">
        <v>49</v>
      </c>
      <c r="C416" s="75">
        <v>45339</v>
      </c>
      <c r="D416" s="74">
        <v>337</v>
      </c>
      <c r="E416" s="60">
        <v>5</v>
      </c>
      <c r="F416" s="76"/>
      <c r="G416" s="60"/>
      <c r="H416" s="60"/>
      <c r="I416" s="60"/>
      <c r="J416" s="60">
        <f>Table510[[#This Row],[العدد]]*Table510[[#This Row],[الفئة]]</f>
        <v>0</v>
      </c>
      <c r="K41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6" s="60"/>
      <c r="M416" s="60">
        <f>Table510[[#This Row],[اجمالي المبلغ]]-Table510[[#This Row],[المبلغ المدفوع]]</f>
        <v>0</v>
      </c>
      <c r="N416" s="60"/>
    </row>
    <row r="417" spans="1:14" hidden="1" x14ac:dyDescent="0.3">
      <c r="A417" s="52">
        <f t="shared" si="6"/>
        <v>414</v>
      </c>
      <c r="B417" s="74"/>
      <c r="C417" s="75"/>
      <c r="D417" s="74"/>
      <c r="E417" s="60"/>
      <c r="F417" s="76"/>
      <c r="G417" s="60"/>
      <c r="H417" s="60"/>
      <c r="I417" s="60"/>
      <c r="J417" s="60">
        <f>Table510[[#This Row],[العدد]]*Table510[[#This Row],[الفئة]]</f>
        <v>0</v>
      </c>
      <c r="K41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7" s="60"/>
      <c r="M417" s="60">
        <f>Table510[[#This Row],[اجمالي المبلغ]]-Table510[[#This Row],[المبلغ المدفوع]]</f>
        <v>0</v>
      </c>
      <c r="N417" s="60"/>
    </row>
    <row r="418" spans="1:14" hidden="1" x14ac:dyDescent="0.3">
      <c r="A418" s="52">
        <f t="shared" si="6"/>
        <v>415</v>
      </c>
      <c r="B418" s="74" t="s">
        <v>124</v>
      </c>
      <c r="C418" s="75">
        <v>45319</v>
      </c>
      <c r="D418" s="74">
        <v>338</v>
      </c>
      <c r="E418" s="60">
        <v>33</v>
      </c>
      <c r="F418" s="76"/>
      <c r="G418" s="60"/>
      <c r="H418" s="60"/>
      <c r="I418" s="60"/>
      <c r="J418" s="60">
        <f>Table510[[#This Row],[العدد]]*Table510[[#This Row],[الفئة]]</f>
        <v>0</v>
      </c>
      <c r="K41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8" s="60"/>
      <c r="M418" s="60">
        <f>Table510[[#This Row],[اجمالي المبلغ]]-Table510[[#This Row],[المبلغ المدفوع]]</f>
        <v>0</v>
      </c>
      <c r="N418" s="60"/>
    </row>
    <row r="419" spans="1:14" hidden="1" x14ac:dyDescent="0.3">
      <c r="A419" s="52">
        <f t="shared" si="6"/>
        <v>416</v>
      </c>
      <c r="B419" s="74" t="s">
        <v>124</v>
      </c>
      <c r="C419" s="75">
        <v>45337</v>
      </c>
      <c r="D419" s="74">
        <v>338</v>
      </c>
      <c r="E419" s="60">
        <v>40</v>
      </c>
      <c r="F419" s="76"/>
      <c r="G419" s="60"/>
      <c r="H419" s="60"/>
      <c r="I419" s="60"/>
      <c r="J419" s="60">
        <f>Table510[[#This Row],[العدد]]*Table510[[#This Row],[الفئة]]</f>
        <v>0</v>
      </c>
      <c r="K41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19" s="60"/>
      <c r="M419" s="60">
        <f>Table510[[#This Row],[اجمالي المبلغ]]-Table510[[#This Row],[المبلغ المدفوع]]</f>
        <v>0</v>
      </c>
      <c r="N419" s="60"/>
    </row>
    <row r="420" spans="1:14" hidden="1" x14ac:dyDescent="0.3">
      <c r="A420" s="52">
        <f t="shared" si="6"/>
        <v>417</v>
      </c>
      <c r="B420" s="74" t="s">
        <v>124</v>
      </c>
      <c r="C420" s="75">
        <v>45339</v>
      </c>
      <c r="D420" s="74">
        <v>338</v>
      </c>
      <c r="E420" s="60">
        <v>9</v>
      </c>
      <c r="F420" s="76"/>
      <c r="G420" s="60"/>
      <c r="H420" s="60"/>
      <c r="I420" s="60"/>
      <c r="J420" s="60">
        <f>Table510[[#This Row],[العدد]]*Table510[[#This Row],[الفئة]]</f>
        <v>0</v>
      </c>
      <c r="K42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0" s="60"/>
      <c r="M420" s="60">
        <f>Table510[[#This Row],[اجمالي المبلغ]]-Table510[[#This Row],[المبلغ المدفوع]]</f>
        <v>0</v>
      </c>
      <c r="N420" s="60"/>
    </row>
    <row r="421" spans="1:14" hidden="1" x14ac:dyDescent="0.3">
      <c r="A421" s="52">
        <f t="shared" si="6"/>
        <v>418</v>
      </c>
      <c r="B421" s="74" t="s">
        <v>124</v>
      </c>
      <c r="C421" s="75">
        <v>45342</v>
      </c>
      <c r="D421" s="74">
        <v>338</v>
      </c>
      <c r="E421" s="60">
        <v>17</v>
      </c>
      <c r="F421" s="76"/>
      <c r="G421" s="60"/>
      <c r="H421" s="60"/>
      <c r="I421" s="60"/>
      <c r="J421" s="60">
        <f>Table510[[#This Row],[العدد]]*Table510[[#This Row],[الفئة]]</f>
        <v>0</v>
      </c>
      <c r="K42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1" s="60"/>
      <c r="M421" s="60">
        <f>Table510[[#This Row],[اجمالي المبلغ]]-Table510[[#This Row],[المبلغ المدفوع]]</f>
        <v>0</v>
      </c>
      <c r="N421" s="60"/>
    </row>
    <row r="422" spans="1:14" hidden="1" x14ac:dyDescent="0.3">
      <c r="A422" s="52">
        <f t="shared" si="6"/>
        <v>419</v>
      </c>
      <c r="B422" s="74" t="s">
        <v>124</v>
      </c>
      <c r="C422" s="75">
        <v>45342</v>
      </c>
      <c r="D422" s="74">
        <v>338</v>
      </c>
      <c r="E422" s="60">
        <v>30</v>
      </c>
      <c r="F422" s="76"/>
      <c r="G422" s="60"/>
      <c r="H422" s="60"/>
      <c r="I422" s="60"/>
      <c r="J422" s="60">
        <f>Table510[[#This Row],[العدد]]*Table510[[#This Row],[الفئة]]</f>
        <v>0</v>
      </c>
      <c r="K42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2" s="60"/>
      <c r="M422" s="60">
        <f>Table510[[#This Row],[اجمالي المبلغ]]-Table510[[#This Row],[المبلغ المدفوع]]</f>
        <v>0</v>
      </c>
      <c r="N422" s="60"/>
    </row>
    <row r="423" spans="1:14" hidden="1" x14ac:dyDescent="0.3">
      <c r="A423" s="52">
        <f t="shared" si="6"/>
        <v>420</v>
      </c>
      <c r="B423" s="74"/>
      <c r="C423" s="75"/>
      <c r="D423" s="74"/>
      <c r="E423" s="60"/>
      <c r="F423" s="76"/>
      <c r="G423" s="60"/>
      <c r="H423" s="60"/>
      <c r="I423" s="60"/>
      <c r="J423" s="60">
        <f>Table510[[#This Row],[العدد]]*Table510[[#This Row],[الفئة]]</f>
        <v>0</v>
      </c>
      <c r="K42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3" s="60"/>
      <c r="M423" s="60">
        <f>Table510[[#This Row],[اجمالي المبلغ]]-Table510[[#This Row],[المبلغ المدفوع]]</f>
        <v>0</v>
      </c>
      <c r="N423" s="60"/>
    </row>
    <row r="424" spans="1:14" hidden="1" x14ac:dyDescent="0.3">
      <c r="A424" s="52">
        <f t="shared" si="6"/>
        <v>421</v>
      </c>
      <c r="B424" s="74" t="s">
        <v>73</v>
      </c>
      <c r="C424" s="75">
        <v>45342</v>
      </c>
      <c r="D424" s="74">
        <v>339</v>
      </c>
      <c r="E424" s="60">
        <v>15</v>
      </c>
      <c r="F424" s="76">
        <v>1</v>
      </c>
      <c r="G424" s="60">
        <v>40</v>
      </c>
      <c r="H424" s="60"/>
      <c r="I424" s="60"/>
      <c r="J424" s="60">
        <f>Table510[[#This Row],[العدد]]*Table510[[#This Row],[الفئة]]</f>
        <v>15</v>
      </c>
      <c r="K42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600</v>
      </c>
      <c r="L424" s="60"/>
      <c r="M424" s="60">
        <f>Table510[[#This Row],[اجمالي المبلغ]]-Table510[[#This Row],[المبلغ المدفوع]]</f>
        <v>600</v>
      </c>
      <c r="N424" s="60"/>
    </row>
    <row r="425" spans="1:14" hidden="1" x14ac:dyDescent="0.3">
      <c r="A425" s="52">
        <f t="shared" si="6"/>
        <v>422</v>
      </c>
      <c r="B425" s="74"/>
      <c r="C425" s="75"/>
      <c r="D425" s="74"/>
      <c r="E425" s="60"/>
      <c r="F425" s="76"/>
      <c r="G425" s="60"/>
      <c r="H425" s="60"/>
      <c r="I425" s="60"/>
      <c r="J425" s="60">
        <f>Table510[[#This Row],[العدد]]*Table510[[#This Row],[الفئة]]</f>
        <v>0</v>
      </c>
      <c r="K42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5" s="60"/>
      <c r="M425" s="60">
        <f>Table510[[#This Row],[اجمالي المبلغ]]-Table510[[#This Row],[المبلغ المدفوع]]</f>
        <v>0</v>
      </c>
      <c r="N425" s="60"/>
    </row>
    <row r="426" spans="1:14" hidden="1" x14ac:dyDescent="0.3">
      <c r="A426" s="52">
        <f t="shared" si="6"/>
        <v>423</v>
      </c>
      <c r="B426" s="74" t="s">
        <v>76</v>
      </c>
      <c r="C426" s="75">
        <v>45342</v>
      </c>
      <c r="D426" s="74">
        <v>340</v>
      </c>
      <c r="E426" s="60">
        <v>5</v>
      </c>
      <c r="F426" s="76"/>
      <c r="G426" s="60"/>
      <c r="H426" s="60"/>
      <c r="I426" s="60"/>
      <c r="J426" s="60">
        <f>Table510[[#This Row],[العدد]]*Table510[[#This Row],[الفئة]]</f>
        <v>0</v>
      </c>
      <c r="K42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6" s="60"/>
      <c r="M426" s="60">
        <f>Table510[[#This Row],[اجمالي المبلغ]]-Table510[[#This Row],[المبلغ المدفوع]]</f>
        <v>0</v>
      </c>
      <c r="N426" s="60"/>
    </row>
    <row r="427" spans="1:14" hidden="1" x14ac:dyDescent="0.3">
      <c r="A427" s="52">
        <f t="shared" si="6"/>
        <v>424</v>
      </c>
      <c r="B427" s="74" t="s">
        <v>76</v>
      </c>
      <c r="C427" s="75">
        <v>45342</v>
      </c>
      <c r="D427" s="74">
        <v>340</v>
      </c>
      <c r="E427" s="60">
        <v>2</v>
      </c>
      <c r="F427" s="76"/>
      <c r="G427" s="60"/>
      <c r="H427" s="60"/>
      <c r="I427" s="60"/>
      <c r="J427" s="60">
        <f>Table510[[#This Row],[العدد]]*Table510[[#This Row],[الفئة]]</f>
        <v>0</v>
      </c>
      <c r="K42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7" s="60"/>
      <c r="M427" s="60">
        <f>Table510[[#This Row],[اجمالي المبلغ]]-Table510[[#This Row],[المبلغ المدفوع]]</f>
        <v>0</v>
      </c>
      <c r="N427" s="60"/>
    </row>
    <row r="428" spans="1:14" hidden="1" x14ac:dyDescent="0.3">
      <c r="A428" s="52">
        <f t="shared" si="6"/>
        <v>425</v>
      </c>
      <c r="B428" s="74"/>
      <c r="C428" s="75"/>
      <c r="D428" s="74"/>
      <c r="E428" s="60"/>
      <c r="F428" s="76"/>
      <c r="G428" s="60"/>
      <c r="H428" s="60"/>
      <c r="I428" s="60"/>
      <c r="J428" s="60">
        <f>Table510[[#This Row],[العدد]]*Table510[[#This Row],[الفئة]]</f>
        <v>0</v>
      </c>
      <c r="K42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28" s="60"/>
      <c r="M428" s="60">
        <f>Table510[[#This Row],[اجمالي المبلغ]]-Table510[[#This Row],[المبلغ المدفوع]]</f>
        <v>0</v>
      </c>
      <c r="N428" s="60"/>
    </row>
    <row r="429" spans="1:14" hidden="1" x14ac:dyDescent="0.3">
      <c r="A429" s="52">
        <f t="shared" si="6"/>
        <v>426</v>
      </c>
      <c r="B429" s="74" t="s">
        <v>31</v>
      </c>
      <c r="C429" s="75">
        <v>45347</v>
      </c>
      <c r="D429" s="74">
        <v>341</v>
      </c>
      <c r="E429" s="60">
        <v>1</v>
      </c>
      <c r="F429" s="76">
        <v>5</v>
      </c>
      <c r="G429" s="60">
        <v>40</v>
      </c>
      <c r="H429" s="60"/>
      <c r="I429" s="60"/>
      <c r="J429" s="60">
        <f>Table510[[#This Row],[العدد]]*Table510[[#This Row],[الفئة]]</f>
        <v>5</v>
      </c>
      <c r="K42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</v>
      </c>
      <c r="L429" s="60">
        <f>Table510[[#This Row],[اجمالي المبلغ]]</f>
        <v>200</v>
      </c>
      <c r="M429" s="60">
        <f>Table510[[#This Row],[اجمالي المبلغ]]-Table510[[#This Row],[المبلغ المدفوع]]</f>
        <v>0</v>
      </c>
      <c r="N429" s="60"/>
    </row>
    <row r="430" spans="1:14" hidden="1" x14ac:dyDescent="0.3">
      <c r="A430" s="52">
        <f t="shared" si="6"/>
        <v>427</v>
      </c>
      <c r="B430" s="74" t="s">
        <v>31</v>
      </c>
      <c r="C430" s="75">
        <v>45347</v>
      </c>
      <c r="D430" s="74">
        <v>341</v>
      </c>
      <c r="E430" s="60">
        <v>3</v>
      </c>
      <c r="F430" s="76">
        <v>5</v>
      </c>
      <c r="G430" s="60">
        <v>45</v>
      </c>
      <c r="H430" s="60"/>
      <c r="I430" s="60"/>
      <c r="J430" s="60">
        <f>Table510[[#This Row],[العدد]]*Table510[[#This Row],[الفئة]]</f>
        <v>15</v>
      </c>
      <c r="K43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675</v>
      </c>
      <c r="L430" s="60">
        <f>Table510[[#This Row],[اجمالي المبلغ]]</f>
        <v>675</v>
      </c>
      <c r="M430" s="60">
        <f>Table510[[#This Row],[اجمالي المبلغ]]-Table510[[#This Row],[المبلغ المدفوع]]</f>
        <v>0</v>
      </c>
      <c r="N430" s="60"/>
    </row>
    <row r="431" spans="1:14" hidden="1" x14ac:dyDescent="0.3">
      <c r="A431" s="52">
        <f t="shared" si="6"/>
        <v>428</v>
      </c>
      <c r="B431" s="74"/>
      <c r="C431" s="75"/>
      <c r="D431" s="74"/>
      <c r="E431" s="60"/>
      <c r="F431" s="76"/>
      <c r="G431" s="60"/>
      <c r="H431" s="60"/>
      <c r="I431" s="60"/>
      <c r="J431" s="60">
        <f>Table510[[#This Row],[العدد]]*Table510[[#This Row],[الفئة]]</f>
        <v>0</v>
      </c>
      <c r="K43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31" s="60"/>
      <c r="M431" s="60">
        <f>Table510[[#This Row],[اجمالي المبلغ]]-Table510[[#This Row],[المبلغ المدفوع]]</f>
        <v>0</v>
      </c>
      <c r="N431" s="60"/>
    </row>
    <row r="432" spans="1:14" hidden="1" x14ac:dyDescent="0.3">
      <c r="A432" s="52">
        <f t="shared" si="6"/>
        <v>429</v>
      </c>
      <c r="B432" s="74" t="s">
        <v>125</v>
      </c>
      <c r="C432" s="75">
        <v>45306</v>
      </c>
      <c r="D432" s="74">
        <v>342</v>
      </c>
      <c r="E432" s="60">
        <v>17</v>
      </c>
      <c r="F432" s="76">
        <v>5</v>
      </c>
      <c r="G432" s="77">
        <v>42</v>
      </c>
      <c r="H432" s="60"/>
      <c r="I432" s="60"/>
      <c r="J432" s="60">
        <f>Table510[[#This Row],[العدد]]*Table510[[#This Row],[الفئة]]</f>
        <v>85</v>
      </c>
      <c r="K43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3570</v>
      </c>
      <c r="L432" s="60"/>
      <c r="M432" s="60">
        <f>Table510[[#This Row],[اجمالي المبلغ]]-Table510[[#This Row],[المبلغ المدفوع]]</f>
        <v>3570</v>
      </c>
      <c r="N432" s="60"/>
    </row>
    <row r="433" spans="1:14" hidden="1" x14ac:dyDescent="0.3">
      <c r="A433" s="52">
        <f t="shared" si="6"/>
        <v>430</v>
      </c>
      <c r="B433" s="74" t="s">
        <v>125</v>
      </c>
      <c r="C433" s="75">
        <v>45306</v>
      </c>
      <c r="D433" s="74">
        <v>342</v>
      </c>
      <c r="E433" s="60">
        <v>40</v>
      </c>
      <c r="F433" s="76">
        <v>1</v>
      </c>
      <c r="G433" s="60">
        <v>42</v>
      </c>
      <c r="H433" s="60"/>
      <c r="I433" s="60"/>
      <c r="J433" s="60">
        <f>Table510[[#This Row],[العدد]]*Table510[[#This Row],[الفئة]]</f>
        <v>40</v>
      </c>
      <c r="K43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1680</v>
      </c>
      <c r="L433" s="60"/>
      <c r="M433" s="60">
        <f>Table510[[#This Row],[اجمالي المبلغ]]-Table510[[#This Row],[المبلغ المدفوع]]</f>
        <v>1680</v>
      </c>
      <c r="N433" s="60"/>
    </row>
    <row r="434" spans="1:14" hidden="1" x14ac:dyDescent="0.3">
      <c r="A434" s="52">
        <f t="shared" si="6"/>
        <v>431</v>
      </c>
      <c r="B434" s="74"/>
      <c r="C434" s="75"/>
      <c r="D434" s="74"/>
      <c r="E434" s="60"/>
      <c r="F434" s="76"/>
      <c r="G434" s="60"/>
      <c r="H434" s="60"/>
      <c r="I434" s="60"/>
      <c r="J434" s="60">
        <f>Table510[[#This Row],[العدد]]*Table510[[#This Row],[الفئة]]</f>
        <v>0</v>
      </c>
      <c r="K43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34" s="60"/>
      <c r="M434" s="60">
        <f>Table510[[#This Row],[اجمالي المبلغ]]-Table510[[#This Row],[المبلغ المدفوع]]</f>
        <v>0</v>
      </c>
      <c r="N434" s="60"/>
    </row>
    <row r="435" spans="1:14" x14ac:dyDescent="0.3">
      <c r="A435" s="52">
        <f t="shared" si="6"/>
        <v>432</v>
      </c>
      <c r="B435" s="74" t="s">
        <v>126</v>
      </c>
      <c r="C435" s="75">
        <v>45306</v>
      </c>
      <c r="D435" s="74">
        <v>343</v>
      </c>
      <c r="E435" s="60">
        <v>20</v>
      </c>
      <c r="F435" s="76">
        <v>5</v>
      </c>
      <c r="G435" s="60">
        <v>40</v>
      </c>
      <c r="H435" s="60"/>
      <c r="I435" s="60"/>
      <c r="J435" s="60">
        <f>Table510[[#This Row],[العدد]]*Table510[[#This Row],[الفئة]]</f>
        <v>100</v>
      </c>
      <c r="K43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435" s="60"/>
      <c r="M435" s="60">
        <f>Table510[[#This Row],[اجمالي المبلغ]]-Table510[[#This Row],[المبلغ المدفوع]]</f>
        <v>4000</v>
      </c>
      <c r="N435" s="60"/>
    </row>
    <row r="436" spans="1:14" x14ac:dyDescent="0.3">
      <c r="A436" s="52">
        <f t="shared" si="6"/>
        <v>433</v>
      </c>
      <c r="B436" s="74" t="s">
        <v>126</v>
      </c>
      <c r="C436" s="75">
        <v>45306</v>
      </c>
      <c r="D436" s="74">
        <v>343</v>
      </c>
      <c r="E436" s="60">
        <v>20</v>
      </c>
      <c r="F436" s="76">
        <v>1.6</v>
      </c>
      <c r="G436" s="60">
        <v>38</v>
      </c>
      <c r="H436" s="60"/>
      <c r="I436" s="60"/>
      <c r="J436" s="60">
        <f>Table510[[#This Row],[العدد]]*Table510[[#This Row],[الفئة]]</f>
        <v>32</v>
      </c>
      <c r="K43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1520</v>
      </c>
      <c r="L436" s="60"/>
      <c r="M436" s="60">
        <f>Table510[[#This Row],[اجمالي المبلغ]]-Table510[[#This Row],[المبلغ المدفوع]]</f>
        <v>1520</v>
      </c>
      <c r="N436" s="60"/>
    </row>
    <row r="437" spans="1:14" x14ac:dyDescent="0.3">
      <c r="A437" s="52">
        <f t="shared" si="6"/>
        <v>434</v>
      </c>
      <c r="B437" s="74" t="s">
        <v>126</v>
      </c>
      <c r="C437" s="75">
        <v>45306</v>
      </c>
      <c r="D437" s="74">
        <v>343</v>
      </c>
      <c r="E437" s="60">
        <v>20</v>
      </c>
      <c r="F437" s="76">
        <v>0.8</v>
      </c>
      <c r="G437" s="60">
        <v>38</v>
      </c>
      <c r="H437" s="60"/>
      <c r="I437" s="60"/>
      <c r="J437" s="60">
        <f>Table510[[#This Row],[العدد]]*Table510[[#This Row],[الفئة]]</f>
        <v>16</v>
      </c>
      <c r="K43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</v>
      </c>
      <c r="L437" s="60"/>
      <c r="M437" s="60">
        <f>Table510[[#This Row],[اجمالي المبلغ]]-Table510[[#This Row],[المبلغ المدفوع]]</f>
        <v>760</v>
      </c>
      <c r="N437" s="60"/>
    </row>
    <row r="438" spans="1:14" hidden="1" x14ac:dyDescent="0.3">
      <c r="A438" s="52">
        <f t="shared" si="6"/>
        <v>435</v>
      </c>
      <c r="B438" s="74"/>
      <c r="C438" s="75"/>
      <c r="D438" s="74"/>
      <c r="E438" s="60"/>
      <c r="F438" s="76"/>
      <c r="G438" s="60"/>
      <c r="H438" s="60"/>
      <c r="I438" s="60"/>
      <c r="J438" s="60">
        <f>Table510[[#This Row],[العدد]]*Table510[[#This Row],[الفئة]]</f>
        <v>0</v>
      </c>
      <c r="K43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38" s="60"/>
      <c r="M438" s="60">
        <f>Table510[[#This Row],[اجمالي المبلغ]]-Table510[[#This Row],[المبلغ المدفوع]]</f>
        <v>0</v>
      </c>
      <c r="N438" s="60"/>
    </row>
    <row r="439" spans="1:14" hidden="1" x14ac:dyDescent="0.3">
      <c r="A439" s="52">
        <f t="shared" si="6"/>
        <v>436</v>
      </c>
      <c r="B439" s="74" t="s">
        <v>127</v>
      </c>
      <c r="C439" s="75">
        <v>45344</v>
      </c>
      <c r="D439" s="74">
        <v>344</v>
      </c>
      <c r="E439" s="60">
        <v>100</v>
      </c>
      <c r="F439" s="76">
        <v>5</v>
      </c>
      <c r="G439" s="60">
        <v>40</v>
      </c>
      <c r="H439" s="60"/>
      <c r="I439" s="60"/>
      <c r="J439" s="60">
        <f>Table510[[#This Row],[العدد]]*Table510[[#This Row],[الفئة]]</f>
        <v>500</v>
      </c>
      <c r="K43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20000</v>
      </c>
      <c r="L439" s="60">
        <v>9000</v>
      </c>
      <c r="M439" s="60">
        <f>Table510[[#This Row],[اجمالي المبلغ]]-Table510[[#This Row],[المبلغ المدفوع]]</f>
        <v>11000</v>
      </c>
      <c r="N439" s="60"/>
    </row>
    <row r="440" spans="1:14" hidden="1" x14ac:dyDescent="0.3">
      <c r="A440" s="52">
        <f t="shared" si="6"/>
        <v>437</v>
      </c>
      <c r="B440" s="74"/>
      <c r="C440" s="75"/>
      <c r="D440" s="74"/>
      <c r="E440" s="60"/>
      <c r="F440" s="76"/>
      <c r="G440" s="60"/>
      <c r="H440" s="60"/>
      <c r="I440" s="60"/>
      <c r="J440" s="60">
        <f>Table510[[#This Row],[العدد]]*Table510[[#This Row],[الفئة]]</f>
        <v>0</v>
      </c>
      <c r="K44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40" s="60"/>
      <c r="M440" s="60">
        <f>Table510[[#This Row],[اجمالي المبلغ]]-Table510[[#This Row],[المبلغ المدفوع]]</f>
        <v>0</v>
      </c>
      <c r="N440" s="60"/>
    </row>
    <row r="441" spans="1:14" hidden="1" x14ac:dyDescent="0.3">
      <c r="A441" s="52">
        <f t="shared" si="6"/>
        <v>438</v>
      </c>
      <c r="B441" s="74" t="s">
        <v>128</v>
      </c>
      <c r="C441" s="75">
        <v>45347</v>
      </c>
      <c r="D441" s="74">
        <v>345</v>
      </c>
      <c r="E441" s="60">
        <v>25</v>
      </c>
      <c r="F441" s="76">
        <v>5</v>
      </c>
      <c r="G441" s="60">
        <v>40</v>
      </c>
      <c r="H441" s="60"/>
      <c r="I441" s="60"/>
      <c r="J441" s="60">
        <f>Table510[[#This Row],[العدد]]*Table510[[#This Row],[الفئة]]</f>
        <v>125</v>
      </c>
      <c r="K44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5000</v>
      </c>
      <c r="L441" s="60">
        <v>5000</v>
      </c>
      <c r="M441" s="60">
        <f>Table510[[#This Row],[اجمالي المبلغ]]-Table510[[#This Row],[المبلغ المدفوع]]</f>
        <v>0</v>
      </c>
      <c r="N441" s="60"/>
    </row>
    <row r="442" spans="1:14" hidden="1" x14ac:dyDescent="0.3">
      <c r="A442" s="52">
        <f t="shared" si="6"/>
        <v>439</v>
      </c>
      <c r="B442" s="74" t="s">
        <v>128</v>
      </c>
      <c r="C442" s="75">
        <v>45347</v>
      </c>
      <c r="D442" s="74">
        <v>345</v>
      </c>
      <c r="E442" s="60">
        <v>20</v>
      </c>
      <c r="F442" s="76">
        <v>0.8</v>
      </c>
      <c r="G442" s="60">
        <v>38</v>
      </c>
      <c r="H442" s="60"/>
      <c r="I442" s="60"/>
      <c r="J442" s="60">
        <f>Table510[[#This Row],[العدد]]*Table510[[#This Row],[الفئة]]</f>
        <v>16</v>
      </c>
      <c r="K44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</v>
      </c>
      <c r="L442" s="60">
        <v>760</v>
      </c>
      <c r="M442" s="60">
        <f>Table510[[#This Row],[اجمالي المبلغ]]-Table510[[#This Row],[المبلغ المدفوع]]</f>
        <v>0</v>
      </c>
      <c r="N442" s="60"/>
    </row>
    <row r="443" spans="1:14" hidden="1" x14ac:dyDescent="0.3">
      <c r="A443" s="52">
        <f t="shared" si="6"/>
        <v>440</v>
      </c>
      <c r="B443" s="74"/>
      <c r="C443" s="75"/>
      <c r="D443" s="74"/>
      <c r="E443" s="60"/>
      <c r="F443" s="76"/>
      <c r="G443" s="60"/>
      <c r="H443" s="60"/>
      <c r="I443" s="60"/>
      <c r="J443" s="60">
        <f>Table510[[#This Row],[العدد]]*Table510[[#This Row],[الفئة]]</f>
        <v>0</v>
      </c>
      <c r="K44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43" s="60"/>
      <c r="M443" s="60">
        <f>Table510[[#This Row],[اجمالي المبلغ]]-Table510[[#This Row],[المبلغ المدفوع]]</f>
        <v>0</v>
      </c>
      <c r="N443" s="60"/>
    </row>
    <row r="444" spans="1:14" hidden="1" x14ac:dyDescent="0.3">
      <c r="A444" s="52">
        <f t="shared" si="6"/>
        <v>441</v>
      </c>
      <c r="B444" s="74" t="s">
        <v>112</v>
      </c>
      <c r="C444" s="75">
        <v>45349</v>
      </c>
      <c r="D444" s="74">
        <v>346</v>
      </c>
      <c r="E444" s="60">
        <v>120</v>
      </c>
      <c r="F444" s="76">
        <v>5</v>
      </c>
      <c r="G444" s="60">
        <v>40</v>
      </c>
      <c r="H444" s="60"/>
      <c r="I444" s="60"/>
      <c r="J444" s="60">
        <f>Table510[[#This Row],[العدد]]*Table510[[#This Row],[الفئة]]</f>
        <v>600</v>
      </c>
      <c r="K44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24000</v>
      </c>
      <c r="L444" s="60">
        <v>23000</v>
      </c>
      <c r="M444" s="60">
        <f>Table510[[#This Row],[اجمالي المبلغ]]-Table510[[#This Row],[المبلغ المدفوع]]</f>
        <v>1000</v>
      </c>
      <c r="N444" s="60"/>
    </row>
    <row r="445" spans="1:14" hidden="1" x14ac:dyDescent="0.3">
      <c r="A445" s="52">
        <f t="shared" si="6"/>
        <v>442</v>
      </c>
      <c r="B445" s="74" t="s">
        <v>112</v>
      </c>
      <c r="C445" s="75">
        <v>45349</v>
      </c>
      <c r="D445" s="74">
        <v>346</v>
      </c>
      <c r="E445" s="60">
        <v>150</v>
      </c>
      <c r="F445" s="76">
        <v>5</v>
      </c>
      <c r="G445" s="60">
        <v>40</v>
      </c>
      <c r="H445" s="60"/>
      <c r="I445" s="60"/>
      <c r="J445" s="60">
        <f>Table510[[#This Row],[العدد]]*Table510[[#This Row],[الفئة]]</f>
        <v>750</v>
      </c>
      <c r="K44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30000</v>
      </c>
      <c r="L445" s="60"/>
      <c r="M445" s="60">
        <f>Table510[[#This Row],[اجمالي المبلغ]]-Table510[[#This Row],[المبلغ المدفوع]]</f>
        <v>30000</v>
      </c>
      <c r="N445" s="60"/>
    </row>
    <row r="446" spans="1:14" hidden="1" x14ac:dyDescent="0.3">
      <c r="A446" s="52">
        <f t="shared" si="6"/>
        <v>443</v>
      </c>
      <c r="B446" s="74" t="s">
        <v>112</v>
      </c>
      <c r="C446" s="75">
        <v>45349</v>
      </c>
      <c r="D446" s="74">
        <v>346</v>
      </c>
      <c r="E446" s="60">
        <v>20</v>
      </c>
      <c r="F446" s="76">
        <v>0.8</v>
      </c>
      <c r="G446" s="60">
        <v>38</v>
      </c>
      <c r="H446" s="60"/>
      <c r="I446" s="60"/>
      <c r="J446" s="60">
        <f>Table510[[#This Row],[العدد]]*Table510[[#This Row],[الفئة]]</f>
        <v>16</v>
      </c>
      <c r="K44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</v>
      </c>
      <c r="L446" s="60"/>
      <c r="M446" s="60">
        <f>Table510[[#This Row],[اجمالي المبلغ]]-Table510[[#This Row],[المبلغ المدفوع]]</f>
        <v>760</v>
      </c>
      <c r="N446" s="60"/>
    </row>
    <row r="447" spans="1:14" hidden="1" x14ac:dyDescent="0.3">
      <c r="A447" s="52">
        <f t="shared" si="6"/>
        <v>444</v>
      </c>
      <c r="B447" s="74"/>
      <c r="C447" s="75"/>
      <c r="D447" s="74"/>
      <c r="E447" s="60"/>
      <c r="F447" s="76"/>
      <c r="G447" s="60"/>
      <c r="H447" s="60"/>
      <c r="I447" s="60"/>
      <c r="J447" s="60">
        <f>Table510[[#This Row],[العدد]]*Table510[[#This Row],[الفئة]]</f>
        <v>0</v>
      </c>
      <c r="K44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47" s="60"/>
      <c r="M447" s="60">
        <f>Table510[[#This Row],[اجمالي المبلغ]]-Table510[[#This Row],[المبلغ المدفوع]]</f>
        <v>0</v>
      </c>
      <c r="N447" s="60"/>
    </row>
    <row r="448" spans="1:14" hidden="1" x14ac:dyDescent="0.3">
      <c r="A448" s="52">
        <f t="shared" si="6"/>
        <v>445</v>
      </c>
      <c r="B448" s="74" t="s">
        <v>85</v>
      </c>
      <c r="C448" s="75">
        <v>45350</v>
      </c>
      <c r="D448" s="74">
        <v>347</v>
      </c>
      <c r="E448" s="60">
        <v>364</v>
      </c>
      <c r="F448" s="76">
        <v>5</v>
      </c>
      <c r="G448" s="60">
        <v>39</v>
      </c>
      <c r="H448" s="60"/>
      <c r="I448" s="60"/>
      <c r="J448" s="60">
        <f>Table510[[#This Row],[العدد]]*Table510[[#This Row],[الفئة]]</f>
        <v>1820</v>
      </c>
      <c r="K44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70980</v>
      </c>
      <c r="L448" s="60">
        <v>24000</v>
      </c>
      <c r="M448" s="60">
        <f>Table510[[#This Row],[اجمالي المبلغ]]-Table510[[#This Row],[المبلغ المدفوع]]</f>
        <v>46980</v>
      </c>
      <c r="N448" s="60"/>
    </row>
    <row r="449" spans="1:14" hidden="1" x14ac:dyDescent="0.3">
      <c r="A449" s="52">
        <f t="shared" si="6"/>
        <v>446</v>
      </c>
      <c r="B449" s="74"/>
      <c r="C449" s="75"/>
      <c r="D449" s="74"/>
      <c r="E449" s="60"/>
      <c r="F449" s="76"/>
      <c r="G449" s="60"/>
      <c r="H449" s="60"/>
      <c r="I449" s="60"/>
      <c r="J449" s="60">
        <f>Table510[[#This Row],[العدد]]*Table510[[#This Row],[الفئة]]</f>
        <v>0</v>
      </c>
      <c r="K44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49" s="60"/>
      <c r="M449" s="60">
        <f>Table510[[#This Row],[اجمالي المبلغ]]-Table510[[#This Row],[المبلغ المدفوع]]</f>
        <v>0</v>
      </c>
      <c r="N449" s="60"/>
    </row>
    <row r="450" spans="1:14" hidden="1" x14ac:dyDescent="0.3">
      <c r="A450" s="52">
        <f t="shared" si="6"/>
        <v>447</v>
      </c>
      <c r="B450" s="74" t="s">
        <v>129</v>
      </c>
      <c r="C450" s="75">
        <v>45351</v>
      </c>
      <c r="D450" s="74">
        <v>348</v>
      </c>
      <c r="E450" s="60">
        <v>11</v>
      </c>
      <c r="F450" s="76">
        <v>5</v>
      </c>
      <c r="G450" s="60">
        <v>40</v>
      </c>
      <c r="H450" s="60"/>
      <c r="I450" s="60"/>
      <c r="J450" s="60">
        <f>Table510[[#This Row],[العدد]]*Table510[[#This Row],[الفئة]]</f>
        <v>55</v>
      </c>
      <c r="K45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2200</v>
      </c>
      <c r="L450" s="60">
        <v>2200</v>
      </c>
      <c r="M450" s="60">
        <f>Table510[[#This Row],[اجمالي المبلغ]]-Table510[[#This Row],[المبلغ المدفوع]]</f>
        <v>0</v>
      </c>
      <c r="N450" s="60"/>
    </row>
    <row r="451" spans="1:14" hidden="1" x14ac:dyDescent="0.3">
      <c r="A451" s="52">
        <f t="shared" si="6"/>
        <v>448</v>
      </c>
      <c r="B451" s="74"/>
      <c r="C451" s="75"/>
      <c r="D451" s="74"/>
      <c r="E451" s="60"/>
      <c r="F451" s="76"/>
      <c r="G451" s="60"/>
      <c r="H451" s="60"/>
      <c r="I451" s="60"/>
      <c r="J451" s="60">
        <f>Table510[[#This Row],[العدد]]*Table510[[#This Row],[الفئة]]</f>
        <v>0</v>
      </c>
      <c r="K45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51" s="60"/>
      <c r="M451" s="60">
        <f>Table510[[#This Row],[اجمالي المبلغ]]-Table510[[#This Row],[المبلغ المدفوع]]</f>
        <v>0</v>
      </c>
      <c r="N451" s="60"/>
    </row>
    <row r="452" spans="1:14" hidden="1" x14ac:dyDescent="0.3">
      <c r="A452" s="52">
        <f t="shared" si="6"/>
        <v>449</v>
      </c>
      <c r="B452" s="74" t="s">
        <v>31</v>
      </c>
      <c r="C452" s="75">
        <v>45352</v>
      </c>
      <c r="D452" s="74">
        <v>349</v>
      </c>
      <c r="E452" s="60">
        <v>6</v>
      </c>
      <c r="F452" s="76">
        <v>5</v>
      </c>
      <c r="G452" s="60">
        <v>38</v>
      </c>
      <c r="H452" s="60"/>
      <c r="I452" s="60"/>
      <c r="J452" s="60">
        <f>Table510[[#This Row],[العدد]]*Table510[[#This Row],[الفئة]]</f>
        <v>30</v>
      </c>
      <c r="K45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1140</v>
      </c>
      <c r="L452" s="60">
        <f>Table510[[#This Row],[اجمالي المبلغ]]</f>
        <v>1140</v>
      </c>
      <c r="M452" s="60">
        <f>Table510[[#This Row],[اجمالي المبلغ]]-Table510[[#This Row],[المبلغ المدفوع]]</f>
        <v>0</v>
      </c>
      <c r="N452" s="60"/>
    </row>
    <row r="453" spans="1:14" hidden="1" x14ac:dyDescent="0.3">
      <c r="A453" s="52">
        <f t="shared" si="6"/>
        <v>450</v>
      </c>
      <c r="B453" s="74" t="s">
        <v>31</v>
      </c>
      <c r="C453" s="75">
        <v>45352</v>
      </c>
      <c r="D453" s="74">
        <v>349</v>
      </c>
      <c r="E453" s="60">
        <v>4</v>
      </c>
      <c r="F453" s="76">
        <v>1.6</v>
      </c>
      <c r="G453" s="60">
        <v>38</v>
      </c>
      <c r="H453" s="60"/>
      <c r="I453" s="60"/>
      <c r="J453" s="60">
        <f>Table510[[#This Row],[العدد]]*Table510[[#This Row],[الفئة]]</f>
        <v>6.4</v>
      </c>
      <c r="K45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304</v>
      </c>
      <c r="L453" s="60">
        <f>Table510[[#This Row],[اجمالي المبلغ]]</f>
        <v>304</v>
      </c>
      <c r="M453" s="60">
        <f>Table510[[#This Row],[اجمالي المبلغ]]-Table510[[#This Row],[المبلغ المدفوع]]</f>
        <v>0</v>
      </c>
      <c r="N453" s="60"/>
    </row>
    <row r="454" spans="1:14" hidden="1" x14ac:dyDescent="0.3">
      <c r="A454" s="52">
        <f t="shared" ref="A454:A517" si="7">A453+1</f>
        <v>451</v>
      </c>
      <c r="B454" s="74"/>
      <c r="C454" s="75"/>
      <c r="D454" s="74"/>
      <c r="E454" s="60"/>
      <c r="F454" s="76"/>
      <c r="G454" s="60"/>
      <c r="H454" s="60"/>
      <c r="I454" s="60"/>
      <c r="J454" s="60">
        <f>Table510[[#This Row],[العدد]]*Table510[[#This Row],[الفئة]]</f>
        <v>0</v>
      </c>
      <c r="K45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54" s="60"/>
      <c r="M454" s="60">
        <f>Table510[[#This Row],[اجمالي المبلغ]]-Table510[[#This Row],[المبلغ المدفوع]]</f>
        <v>0</v>
      </c>
      <c r="N454" s="60"/>
    </row>
    <row r="455" spans="1:14" hidden="1" x14ac:dyDescent="0.3">
      <c r="A455" s="52">
        <f t="shared" si="7"/>
        <v>452</v>
      </c>
      <c r="B455" s="74" t="s">
        <v>22</v>
      </c>
      <c r="C455" s="75">
        <v>45352</v>
      </c>
      <c r="D455" s="74">
        <v>350</v>
      </c>
      <c r="E455" s="60">
        <v>15</v>
      </c>
      <c r="F455" s="76">
        <v>5</v>
      </c>
      <c r="G455" s="60">
        <v>40</v>
      </c>
      <c r="H455" s="60"/>
      <c r="I455" s="60"/>
      <c r="J455" s="60">
        <f>Table510[[#This Row],[العدد]]*Table510[[#This Row],[الفئة]]</f>
        <v>75</v>
      </c>
      <c r="K45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</v>
      </c>
      <c r="L455" s="60">
        <v>3000</v>
      </c>
      <c r="M455" s="60">
        <f>Table510[[#This Row],[اجمالي المبلغ]]-Table510[[#This Row],[المبلغ المدفوع]]</f>
        <v>0</v>
      </c>
      <c r="N455" s="60"/>
    </row>
    <row r="456" spans="1:14" hidden="1" x14ac:dyDescent="0.3">
      <c r="A456" s="52">
        <f t="shared" si="7"/>
        <v>453</v>
      </c>
      <c r="B456" s="74"/>
      <c r="C456" s="75"/>
      <c r="D456" s="74"/>
      <c r="E456" s="60"/>
      <c r="F456" s="76"/>
      <c r="G456" s="60"/>
      <c r="H456" s="60"/>
      <c r="I456" s="60"/>
      <c r="J456" s="60">
        <f>Table510[[#This Row],[العدد]]*Table510[[#This Row],[الفئة]]</f>
        <v>0</v>
      </c>
      <c r="K45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56" s="60"/>
      <c r="M456" s="60">
        <f>Table510[[#This Row],[اجمالي المبلغ]]-Table510[[#This Row],[المبلغ المدفوع]]</f>
        <v>0</v>
      </c>
      <c r="N456" s="60"/>
    </row>
    <row r="457" spans="1:14" hidden="1" x14ac:dyDescent="0.3">
      <c r="A457" s="52">
        <f t="shared" si="7"/>
        <v>454</v>
      </c>
      <c r="B457" s="74" t="s">
        <v>110</v>
      </c>
      <c r="C457" s="75">
        <v>45352</v>
      </c>
      <c r="D457" s="74">
        <v>351</v>
      </c>
      <c r="E457" s="60">
        <v>50</v>
      </c>
      <c r="F457" s="76">
        <v>5</v>
      </c>
      <c r="G457" s="60">
        <v>40</v>
      </c>
      <c r="H457" s="60"/>
      <c r="I457" s="60"/>
      <c r="J457" s="60">
        <f>Table510[[#This Row],[العدد]]*Table510[[#This Row],[الفئة]]</f>
        <v>250</v>
      </c>
      <c r="K45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10000</v>
      </c>
      <c r="L457" s="60">
        <v>8000</v>
      </c>
      <c r="M457" s="60">
        <f>Table510[[#This Row],[اجمالي المبلغ]]-Table510[[#This Row],[المبلغ المدفوع]]</f>
        <v>2000</v>
      </c>
      <c r="N457" s="60"/>
    </row>
    <row r="458" spans="1:14" hidden="1" x14ac:dyDescent="0.3">
      <c r="A458" s="52">
        <f t="shared" si="7"/>
        <v>455</v>
      </c>
      <c r="B458" s="74"/>
      <c r="C458" s="75"/>
      <c r="D458" s="74"/>
      <c r="E458" s="60"/>
      <c r="F458" s="76"/>
      <c r="G458" s="60"/>
      <c r="H458" s="60"/>
      <c r="I458" s="60"/>
      <c r="J458" s="60">
        <f>Table510[[#This Row],[العدد]]*Table510[[#This Row],[الفئة]]</f>
        <v>0</v>
      </c>
      <c r="K45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58" s="60"/>
      <c r="M458" s="60">
        <f>Table510[[#This Row],[اجمالي المبلغ]]-Table510[[#This Row],[المبلغ المدفوع]]</f>
        <v>0</v>
      </c>
      <c r="N458" s="60"/>
    </row>
    <row r="459" spans="1:14" hidden="1" x14ac:dyDescent="0.3">
      <c r="A459" s="52">
        <f t="shared" si="7"/>
        <v>456</v>
      </c>
      <c r="B459" s="74" t="s">
        <v>27</v>
      </c>
      <c r="C459" s="75">
        <v>45352</v>
      </c>
      <c r="D459" s="74">
        <v>352</v>
      </c>
      <c r="E459" s="60">
        <v>20</v>
      </c>
      <c r="F459" s="76">
        <v>5</v>
      </c>
      <c r="G459" s="60">
        <v>40</v>
      </c>
      <c r="H459" s="60"/>
      <c r="I459" s="60"/>
      <c r="J459" s="60">
        <f>Table510[[#This Row],[العدد]]*Table510[[#This Row],[الفئة]]</f>
        <v>100</v>
      </c>
      <c r="K45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459" s="60"/>
      <c r="M459" s="60">
        <f>Table510[[#This Row],[اجمالي المبلغ]]-Table510[[#This Row],[المبلغ المدفوع]]</f>
        <v>4000</v>
      </c>
      <c r="N459" s="60"/>
    </row>
    <row r="460" spans="1:14" hidden="1" x14ac:dyDescent="0.3">
      <c r="A460" s="52">
        <f t="shared" si="7"/>
        <v>457</v>
      </c>
      <c r="B460" s="74" t="s">
        <v>27</v>
      </c>
      <c r="C460" s="75">
        <v>45352</v>
      </c>
      <c r="D460" s="74">
        <v>352</v>
      </c>
      <c r="E460" s="60">
        <v>300</v>
      </c>
      <c r="F460" s="76">
        <v>0.8</v>
      </c>
      <c r="G460" s="60">
        <v>38</v>
      </c>
      <c r="H460" s="60"/>
      <c r="I460" s="60"/>
      <c r="J460" s="60">
        <f>Table510[[#This Row],[العدد]]*Table510[[#This Row],[الفئة]]</f>
        <v>240</v>
      </c>
      <c r="K46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11400</v>
      </c>
      <c r="L460" s="60"/>
      <c r="M460" s="60">
        <f>Table510[[#This Row],[اجمالي المبلغ]]-Table510[[#This Row],[المبلغ المدفوع]]</f>
        <v>11400</v>
      </c>
      <c r="N460" s="60"/>
    </row>
    <row r="461" spans="1:14" hidden="1" x14ac:dyDescent="0.3">
      <c r="A461" s="52">
        <f t="shared" si="7"/>
        <v>458</v>
      </c>
      <c r="B461" s="74"/>
      <c r="C461" s="75"/>
      <c r="D461" s="74"/>
      <c r="E461" s="60"/>
      <c r="F461" s="76"/>
      <c r="G461" s="60"/>
      <c r="H461" s="60"/>
      <c r="I461" s="60"/>
      <c r="J461" s="60">
        <f>Table510[[#This Row],[العدد]]*Table510[[#This Row],[الفئة]]</f>
        <v>0</v>
      </c>
      <c r="K46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61" s="60"/>
      <c r="M461" s="60">
        <f>Table510[[#This Row],[اجمالي المبلغ]]-Table510[[#This Row],[المبلغ المدفوع]]</f>
        <v>0</v>
      </c>
      <c r="N461" s="60"/>
    </row>
    <row r="462" spans="1:14" hidden="1" x14ac:dyDescent="0.3">
      <c r="A462" s="52">
        <f t="shared" si="7"/>
        <v>459</v>
      </c>
      <c r="B462" s="74" t="s">
        <v>48</v>
      </c>
      <c r="C462" s="75">
        <v>45352</v>
      </c>
      <c r="D462" s="74">
        <v>353</v>
      </c>
      <c r="E462" s="60">
        <v>125</v>
      </c>
      <c r="F462" s="76">
        <v>5</v>
      </c>
      <c r="G462" s="60">
        <v>40</v>
      </c>
      <c r="H462" s="60"/>
      <c r="I462" s="60"/>
      <c r="J462" s="60">
        <f>Table510[[#This Row],[العدد]]*Table510[[#This Row],[الفئة]]</f>
        <v>625</v>
      </c>
      <c r="K46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25000</v>
      </c>
      <c r="L462" s="60"/>
      <c r="M462" s="60">
        <f>Table510[[#This Row],[اجمالي المبلغ]]-Table510[[#This Row],[المبلغ المدفوع]]</f>
        <v>25000</v>
      </c>
      <c r="N462" s="60"/>
    </row>
    <row r="463" spans="1:14" hidden="1" x14ac:dyDescent="0.3">
      <c r="A463" s="52">
        <f t="shared" si="7"/>
        <v>460</v>
      </c>
      <c r="B463" s="74" t="s">
        <v>48</v>
      </c>
      <c r="C463" s="75">
        <v>45352</v>
      </c>
      <c r="D463" s="74">
        <v>353</v>
      </c>
      <c r="E463" s="60">
        <v>50</v>
      </c>
      <c r="F463" s="76">
        <v>5</v>
      </c>
      <c r="G463" s="60">
        <v>38</v>
      </c>
      <c r="H463" s="60"/>
      <c r="I463" s="60"/>
      <c r="J463" s="60">
        <f>Table510[[#This Row],[العدد]]*Table510[[#This Row],[الفئة]]</f>
        <v>250</v>
      </c>
      <c r="K46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9500</v>
      </c>
      <c r="L463" s="60"/>
      <c r="M463" s="60">
        <f>Table510[[#This Row],[اجمالي المبلغ]]-Table510[[#This Row],[المبلغ المدفوع]]</f>
        <v>9500</v>
      </c>
      <c r="N463" s="60"/>
    </row>
    <row r="464" spans="1:14" hidden="1" x14ac:dyDescent="0.3">
      <c r="A464" s="52">
        <f t="shared" si="7"/>
        <v>461</v>
      </c>
      <c r="B464" s="74" t="s">
        <v>48</v>
      </c>
      <c r="C464" s="75">
        <v>45352</v>
      </c>
      <c r="D464" s="74">
        <v>353</v>
      </c>
      <c r="E464" s="60">
        <v>20</v>
      </c>
      <c r="F464" s="76">
        <v>1.6</v>
      </c>
      <c r="G464" s="60">
        <v>38</v>
      </c>
      <c r="H464" s="60"/>
      <c r="I464" s="60"/>
      <c r="J464" s="60">
        <f>Table510[[#This Row],[العدد]]*Table510[[#This Row],[الفئة]]</f>
        <v>32</v>
      </c>
      <c r="K46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1520</v>
      </c>
      <c r="L464" s="60"/>
      <c r="M464" s="60">
        <f>Table510[[#This Row],[اجمالي المبلغ]]-Table510[[#This Row],[المبلغ المدفوع]]</f>
        <v>1520</v>
      </c>
      <c r="N464" s="60"/>
    </row>
    <row r="465" spans="1:14" hidden="1" x14ac:dyDescent="0.3">
      <c r="A465" s="52">
        <f t="shared" si="7"/>
        <v>462</v>
      </c>
      <c r="B465" s="74"/>
      <c r="C465" s="75"/>
      <c r="D465" s="74"/>
      <c r="E465" s="60"/>
      <c r="F465" s="76"/>
      <c r="G465" s="60"/>
      <c r="H465" s="60"/>
      <c r="I465" s="60"/>
      <c r="J465" s="60">
        <f>Table510[[#This Row],[العدد]]*Table510[[#This Row],[الفئة]]</f>
        <v>0</v>
      </c>
      <c r="K46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65" s="60"/>
      <c r="M465" s="60">
        <f>Table510[[#This Row],[اجمالي المبلغ]]-Table510[[#This Row],[المبلغ المدفوع]]</f>
        <v>0</v>
      </c>
      <c r="N465" s="60"/>
    </row>
    <row r="466" spans="1:14" hidden="1" x14ac:dyDescent="0.3">
      <c r="A466" s="52">
        <f t="shared" si="7"/>
        <v>463</v>
      </c>
      <c r="B466" s="74" t="s">
        <v>19</v>
      </c>
      <c r="C466" s="75">
        <v>45352</v>
      </c>
      <c r="D466" s="74">
        <v>354</v>
      </c>
      <c r="E466" s="60">
        <v>400</v>
      </c>
      <c r="F466" s="76">
        <v>5</v>
      </c>
      <c r="G466" s="60">
        <v>40</v>
      </c>
      <c r="H466" s="60"/>
      <c r="I466" s="60"/>
      <c r="J466" s="60">
        <f>Table510[[#This Row],[العدد]]*Table510[[#This Row],[الفئة]]</f>
        <v>2000</v>
      </c>
      <c r="K46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80000</v>
      </c>
      <c r="L466" s="60"/>
      <c r="M466" s="60">
        <f>Table510[[#This Row],[اجمالي المبلغ]]-Table510[[#This Row],[المبلغ المدفوع]]</f>
        <v>80000</v>
      </c>
      <c r="N466" s="60"/>
    </row>
    <row r="467" spans="1:14" hidden="1" x14ac:dyDescent="0.3">
      <c r="A467" s="52">
        <f t="shared" si="7"/>
        <v>464</v>
      </c>
      <c r="B467" s="74" t="s">
        <v>19</v>
      </c>
      <c r="C467" s="75">
        <v>45352</v>
      </c>
      <c r="D467" s="74">
        <v>354</v>
      </c>
      <c r="E467" s="60">
        <v>100</v>
      </c>
      <c r="F467" s="76">
        <v>1.6</v>
      </c>
      <c r="G467" s="60">
        <v>38</v>
      </c>
      <c r="H467" s="60"/>
      <c r="I467" s="60"/>
      <c r="J467" s="60">
        <f>Table510[[#This Row],[العدد]]*Table510[[#This Row],[الفئة]]</f>
        <v>160</v>
      </c>
      <c r="K46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467" s="60"/>
      <c r="M467" s="60">
        <f>Table510[[#This Row],[اجمالي المبلغ]]-Table510[[#This Row],[المبلغ المدفوع]]</f>
        <v>7600</v>
      </c>
      <c r="N467" s="60"/>
    </row>
    <row r="468" spans="1:14" hidden="1" x14ac:dyDescent="0.3">
      <c r="A468" s="52">
        <f t="shared" si="7"/>
        <v>465</v>
      </c>
      <c r="B468" s="74"/>
      <c r="C468" s="75"/>
      <c r="D468" s="74"/>
      <c r="E468" s="60"/>
      <c r="F468" s="76"/>
      <c r="G468" s="60"/>
      <c r="H468" s="60"/>
      <c r="I468" s="60"/>
      <c r="J468" s="60">
        <f>Table510[[#This Row],[العدد]]*Table510[[#This Row],[الفئة]]</f>
        <v>0</v>
      </c>
      <c r="K46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68" s="60"/>
      <c r="M468" s="60">
        <f>Table510[[#This Row],[اجمالي المبلغ]]-Table510[[#This Row],[المبلغ المدفوع]]</f>
        <v>0</v>
      </c>
      <c r="N468" s="60"/>
    </row>
    <row r="469" spans="1:14" hidden="1" x14ac:dyDescent="0.3">
      <c r="A469" s="52">
        <f t="shared" si="7"/>
        <v>466</v>
      </c>
      <c r="B469" s="74" t="s">
        <v>87</v>
      </c>
      <c r="C469" s="75">
        <v>45352</v>
      </c>
      <c r="D469" s="74">
        <v>355</v>
      </c>
      <c r="E469" s="60">
        <v>70</v>
      </c>
      <c r="F469" s="76">
        <v>5</v>
      </c>
      <c r="G469" s="60">
        <v>40</v>
      </c>
      <c r="H469" s="60"/>
      <c r="I469" s="60"/>
      <c r="J469" s="60">
        <f>Table510[[#This Row],[العدد]]*Table510[[#This Row],[الفئة]]</f>
        <v>350</v>
      </c>
      <c r="K46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14000</v>
      </c>
      <c r="L469" s="60"/>
      <c r="M469" s="60">
        <f>Table510[[#This Row],[اجمالي المبلغ]]-Table510[[#This Row],[المبلغ المدفوع]]</f>
        <v>14000</v>
      </c>
      <c r="N469" s="60"/>
    </row>
    <row r="470" spans="1:14" hidden="1" x14ac:dyDescent="0.3">
      <c r="A470" s="52">
        <f t="shared" si="7"/>
        <v>467</v>
      </c>
      <c r="B470" s="74" t="s">
        <v>87</v>
      </c>
      <c r="C470" s="75">
        <v>45352</v>
      </c>
      <c r="D470" s="74">
        <v>355</v>
      </c>
      <c r="E470" s="60">
        <v>40</v>
      </c>
      <c r="F470" s="76">
        <v>1.6</v>
      </c>
      <c r="G470" s="60">
        <v>38</v>
      </c>
      <c r="H470" s="60"/>
      <c r="I470" s="60"/>
      <c r="J470" s="60">
        <f>Table510[[#This Row],[العدد]]*Table510[[#This Row],[الفئة]]</f>
        <v>64</v>
      </c>
      <c r="K47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3040</v>
      </c>
      <c r="L470" s="60"/>
      <c r="M470" s="60">
        <f>Table510[[#This Row],[اجمالي المبلغ]]-Table510[[#This Row],[المبلغ المدفوع]]</f>
        <v>3040</v>
      </c>
      <c r="N470" s="60"/>
    </row>
    <row r="471" spans="1:14" hidden="1" x14ac:dyDescent="0.3">
      <c r="A471" s="52">
        <f t="shared" si="7"/>
        <v>468</v>
      </c>
      <c r="B471" s="74" t="s">
        <v>87</v>
      </c>
      <c r="C471" s="75">
        <v>45352</v>
      </c>
      <c r="D471" s="74">
        <v>355</v>
      </c>
      <c r="E471" s="60">
        <v>150</v>
      </c>
      <c r="F471" s="76">
        <v>0.8</v>
      </c>
      <c r="G471" s="60">
        <v>38</v>
      </c>
      <c r="H471" s="60"/>
      <c r="I471" s="60"/>
      <c r="J471" s="60">
        <f>Table510[[#This Row],[العدد]]*Table510[[#This Row],[الفئة]]</f>
        <v>120</v>
      </c>
      <c r="K47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471" s="60"/>
      <c r="M471" s="60">
        <f>Table510[[#This Row],[اجمالي المبلغ]]-Table510[[#This Row],[المبلغ المدفوع]]</f>
        <v>5700</v>
      </c>
      <c r="N471" s="60"/>
    </row>
    <row r="472" spans="1:14" hidden="1" x14ac:dyDescent="0.3">
      <c r="A472" s="52">
        <f t="shared" si="7"/>
        <v>469</v>
      </c>
      <c r="B472" s="74"/>
      <c r="C472" s="75"/>
      <c r="D472" s="74"/>
      <c r="E472" s="60"/>
      <c r="F472" s="76"/>
      <c r="G472" s="60"/>
      <c r="H472" s="60"/>
      <c r="I472" s="60"/>
      <c r="J472" s="60">
        <f>Table510[[#This Row],[العدد]]*Table510[[#This Row],[الفئة]]</f>
        <v>0</v>
      </c>
      <c r="K47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72" s="60"/>
      <c r="M472" s="60">
        <f>Table510[[#This Row],[اجمالي المبلغ]]-Table510[[#This Row],[المبلغ المدفوع]]</f>
        <v>0</v>
      </c>
      <c r="N472" s="60"/>
    </row>
    <row r="473" spans="1:14" hidden="1" x14ac:dyDescent="0.3">
      <c r="A473" s="52">
        <f t="shared" si="7"/>
        <v>470</v>
      </c>
      <c r="B473" s="74" t="s">
        <v>89</v>
      </c>
      <c r="C473" s="75">
        <v>45352</v>
      </c>
      <c r="D473" s="74">
        <v>356</v>
      </c>
      <c r="E473" s="60">
        <v>50</v>
      </c>
      <c r="F473" s="76">
        <v>5</v>
      </c>
      <c r="G473" s="60">
        <v>40</v>
      </c>
      <c r="H473" s="60"/>
      <c r="I473" s="60">
        <v>250</v>
      </c>
      <c r="J473" s="60">
        <f>Table510[[#This Row],[العدد]]*Table510[[#This Row],[الفئة]]</f>
        <v>250</v>
      </c>
      <c r="K47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10250</v>
      </c>
      <c r="L473" s="60"/>
      <c r="M473" s="60">
        <f>Table510[[#This Row],[اجمالي المبلغ]]-Table510[[#This Row],[المبلغ المدفوع]]</f>
        <v>10250</v>
      </c>
      <c r="N473" s="60" t="s">
        <v>143</v>
      </c>
    </row>
    <row r="474" spans="1:14" hidden="1" x14ac:dyDescent="0.3">
      <c r="A474" s="52">
        <f t="shared" si="7"/>
        <v>471</v>
      </c>
      <c r="B474" s="74"/>
      <c r="C474" s="75"/>
      <c r="D474" s="74"/>
      <c r="E474" s="60"/>
      <c r="F474" s="76"/>
      <c r="G474" s="60"/>
      <c r="H474" s="60"/>
      <c r="I474" s="60"/>
      <c r="J474" s="60">
        <f>Table510[[#This Row],[العدد]]*Table510[[#This Row],[الفئة]]</f>
        <v>0</v>
      </c>
      <c r="K47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74" s="60"/>
      <c r="M474" s="60">
        <f>Table510[[#This Row],[اجمالي المبلغ]]-Table510[[#This Row],[المبلغ المدفوع]]</f>
        <v>0</v>
      </c>
      <c r="N474" s="60"/>
    </row>
    <row r="475" spans="1:14" hidden="1" x14ac:dyDescent="0.3">
      <c r="A475" s="52">
        <f t="shared" si="7"/>
        <v>472</v>
      </c>
      <c r="B475" s="74" t="s">
        <v>41</v>
      </c>
      <c r="C475" s="75">
        <v>45352</v>
      </c>
      <c r="D475" s="74">
        <v>357</v>
      </c>
      <c r="E475" s="60">
        <v>150</v>
      </c>
      <c r="F475" s="76">
        <v>0.8</v>
      </c>
      <c r="G475" s="60">
        <v>38</v>
      </c>
      <c r="H475" s="60"/>
      <c r="I475" s="60"/>
      <c r="J475" s="60">
        <f>Table510[[#This Row],[العدد]]*Table510[[#This Row],[الفئة]]</f>
        <v>120</v>
      </c>
      <c r="K47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475" s="60"/>
      <c r="M475" s="60">
        <f>Table510[[#This Row],[اجمالي المبلغ]]-Table510[[#This Row],[المبلغ المدفوع]]</f>
        <v>5700</v>
      </c>
      <c r="N475" s="60"/>
    </row>
    <row r="476" spans="1:14" hidden="1" x14ac:dyDescent="0.3">
      <c r="A476" s="52">
        <f t="shared" si="7"/>
        <v>473</v>
      </c>
      <c r="B476" s="74" t="s">
        <v>41</v>
      </c>
      <c r="C476" s="75">
        <v>45352</v>
      </c>
      <c r="D476" s="74">
        <v>357</v>
      </c>
      <c r="E476" s="60">
        <v>20</v>
      </c>
      <c r="F476" s="76">
        <v>5</v>
      </c>
      <c r="G476" s="60">
        <v>40</v>
      </c>
      <c r="H476" s="60"/>
      <c r="I476" s="60"/>
      <c r="J476" s="60">
        <f>Table510[[#This Row],[العدد]]*Table510[[#This Row],[الفئة]]</f>
        <v>100</v>
      </c>
      <c r="K47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476" s="60"/>
      <c r="M476" s="60">
        <f>Table510[[#This Row],[اجمالي المبلغ]]-Table510[[#This Row],[المبلغ المدفوع]]</f>
        <v>4000</v>
      </c>
      <c r="N476" s="60"/>
    </row>
    <row r="477" spans="1:14" hidden="1" x14ac:dyDescent="0.3">
      <c r="B477" s="87" t="s">
        <v>41</v>
      </c>
      <c r="C477" s="80">
        <v>45352</v>
      </c>
      <c r="D477" s="87">
        <v>357</v>
      </c>
      <c r="E477" s="81">
        <v>-11</v>
      </c>
      <c r="F477" s="88">
        <v>5</v>
      </c>
      <c r="G477" s="81">
        <v>40</v>
      </c>
      <c r="H477" s="81"/>
      <c r="I477" s="81"/>
      <c r="J477" s="81">
        <f>Table510[[#This Row],[العدد]]*Table510[[#This Row],[الفئة]]</f>
        <v>-55</v>
      </c>
      <c r="K477" s="81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-2200</v>
      </c>
      <c r="L477" s="81"/>
      <c r="M477" s="81">
        <f>Table510[[#This Row],[اجمالي المبلغ]]-Table510[[#This Row],[المبلغ المدفوع]]</f>
        <v>-2200</v>
      </c>
      <c r="N477" s="57" t="s">
        <v>151</v>
      </c>
    </row>
    <row r="478" spans="1:14" hidden="1" x14ac:dyDescent="0.3">
      <c r="A478" s="52">
        <f>A476+1</f>
        <v>474</v>
      </c>
      <c r="B478" s="74"/>
      <c r="C478" s="75"/>
      <c r="D478" s="74"/>
      <c r="E478" s="60"/>
      <c r="F478" s="76"/>
      <c r="G478" s="60"/>
      <c r="H478" s="60"/>
      <c r="I478" s="60"/>
      <c r="J478" s="60">
        <f>Table510[[#This Row],[العدد]]*Table510[[#This Row],[الفئة]]</f>
        <v>0</v>
      </c>
      <c r="K47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78" s="60"/>
      <c r="M478" s="60">
        <f>Table510[[#This Row],[اجمالي المبلغ]]-Table510[[#This Row],[المبلغ المدفوع]]</f>
        <v>0</v>
      </c>
      <c r="N478" s="60"/>
    </row>
    <row r="479" spans="1:14" hidden="1" x14ac:dyDescent="0.3">
      <c r="A479" s="52">
        <f t="shared" si="7"/>
        <v>475</v>
      </c>
      <c r="B479" s="55" t="s">
        <v>130</v>
      </c>
      <c r="C479" s="75">
        <v>45352</v>
      </c>
      <c r="D479" s="74">
        <v>358</v>
      </c>
      <c r="E479" s="60">
        <v>130</v>
      </c>
      <c r="F479" s="76">
        <v>5</v>
      </c>
      <c r="G479" s="60">
        <v>40</v>
      </c>
      <c r="H479" s="60"/>
      <c r="I479" s="60"/>
      <c r="J479" s="60">
        <f>Table510[[#This Row],[العدد]]*Table510[[#This Row],[الفئة]]</f>
        <v>650</v>
      </c>
      <c r="K47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26000</v>
      </c>
      <c r="L479" s="60"/>
      <c r="M479" s="60">
        <f>Table510[[#This Row],[اجمالي المبلغ]]-Table510[[#This Row],[المبلغ المدفوع]]</f>
        <v>26000</v>
      </c>
      <c r="N479" s="60"/>
    </row>
    <row r="480" spans="1:14" hidden="1" x14ac:dyDescent="0.3">
      <c r="A480" s="52">
        <f t="shared" si="7"/>
        <v>476</v>
      </c>
      <c r="B480" s="55" t="s">
        <v>130</v>
      </c>
      <c r="C480" s="75">
        <v>45352</v>
      </c>
      <c r="D480" s="74">
        <v>358</v>
      </c>
      <c r="E480" s="60">
        <v>100</v>
      </c>
      <c r="F480" s="76">
        <v>1.6</v>
      </c>
      <c r="G480" s="60">
        <v>38</v>
      </c>
      <c r="H480" s="60"/>
      <c r="I480" s="60"/>
      <c r="J480" s="60">
        <f>Table510[[#This Row],[العدد]]*Table510[[#This Row],[الفئة]]</f>
        <v>160</v>
      </c>
      <c r="K48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7600</v>
      </c>
      <c r="L480" s="60"/>
      <c r="M480" s="60">
        <f>Table510[[#This Row],[اجمالي المبلغ]]-Table510[[#This Row],[المبلغ المدفوع]]</f>
        <v>7600</v>
      </c>
      <c r="N480" s="60"/>
    </row>
    <row r="481" spans="1:14" hidden="1" x14ac:dyDescent="0.3">
      <c r="A481" s="52">
        <f t="shared" si="7"/>
        <v>477</v>
      </c>
      <c r="B481" s="55" t="s">
        <v>130</v>
      </c>
      <c r="C481" s="75">
        <v>45352</v>
      </c>
      <c r="D481" s="74">
        <v>358</v>
      </c>
      <c r="E481" s="60">
        <v>150</v>
      </c>
      <c r="F481" s="76">
        <v>0.8</v>
      </c>
      <c r="G481" s="60">
        <v>38</v>
      </c>
      <c r="H481" s="60"/>
      <c r="I481" s="60"/>
      <c r="J481" s="60">
        <f>Table510[[#This Row],[العدد]]*Table510[[#This Row],[الفئة]]</f>
        <v>120</v>
      </c>
      <c r="K48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5700</v>
      </c>
      <c r="L481" s="60"/>
      <c r="M481" s="60">
        <f>Table510[[#This Row],[اجمالي المبلغ]]-Table510[[#This Row],[المبلغ المدفوع]]</f>
        <v>5700</v>
      </c>
      <c r="N481" s="60"/>
    </row>
    <row r="482" spans="1:14" hidden="1" x14ac:dyDescent="0.3">
      <c r="A482" s="52">
        <f t="shared" si="7"/>
        <v>478</v>
      </c>
      <c r="B482" s="74"/>
      <c r="C482" s="75"/>
      <c r="D482" s="74"/>
      <c r="E482" s="60"/>
      <c r="F482" s="76"/>
      <c r="G482" s="60"/>
      <c r="H482" s="60"/>
      <c r="I482" s="60"/>
      <c r="J482" s="60">
        <f>Table510[[#This Row],[العدد]]*Table510[[#This Row],[الفئة]]</f>
        <v>0</v>
      </c>
      <c r="K48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82" s="60"/>
      <c r="M482" s="60">
        <f>Table510[[#This Row],[اجمالي المبلغ]]-Table510[[#This Row],[المبلغ المدفوع]]</f>
        <v>0</v>
      </c>
      <c r="N482" s="60"/>
    </row>
    <row r="483" spans="1:14" hidden="1" x14ac:dyDescent="0.3">
      <c r="A483" s="52">
        <f t="shared" si="7"/>
        <v>479</v>
      </c>
      <c r="B483" s="74" t="s">
        <v>131</v>
      </c>
      <c r="C483" s="75">
        <v>45352</v>
      </c>
      <c r="D483" s="74">
        <v>359</v>
      </c>
      <c r="E483" s="60">
        <v>10</v>
      </c>
      <c r="F483" s="76">
        <v>5</v>
      </c>
      <c r="G483" s="60">
        <v>40</v>
      </c>
      <c r="H483" s="60"/>
      <c r="I483" s="60"/>
      <c r="J483" s="60">
        <f>Table510[[#This Row],[العدد]]*Table510[[#This Row],[الفئة]]</f>
        <v>50</v>
      </c>
      <c r="K48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</v>
      </c>
      <c r="L483" s="60"/>
      <c r="M483" s="60">
        <f>Table510[[#This Row],[اجمالي المبلغ]]-Table510[[#This Row],[المبلغ المدفوع]]</f>
        <v>2000</v>
      </c>
      <c r="N483" s="60"/>
    </row>
    <row r="484" spans="1:14" hidden="1" x14ac:dyDescent="0.3">
      <c r="A484" s="52">
        <f t="shared" si="7"/>
        <v>480</v>
      </c>
      <c r="B484" s="74"/>
      <c r="C484" s="75"/>
      <c r="D484" s="74"/>
      <c r="E484" s="60"/>
      <c r="F484" s="76"/>
      <c r="G484" s="60"/>
      <c r="H484" s="60"/>
      <c r="I484" s="60"/>
      <c r="J484" s="60">
        <f>Table510[[#This Row],[العدد]]*Table510[[#This Row],[الفئة]]</f>
        <v>0</v>
      </c>
      <c r="K48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84" s="60"/>
      <c r="M484" s="60">
        <f>Table510[[#This Row],[اجمالي المبلغ]]-Table510[[#This Row],[المبلغ المدفوع]]</f>
        <v>0</v>
      </c>
      <c r="N484" s="60"/>
    </row>
    <row r="485" spans="1:14" hidden="1" x14ac:dyDescent="0.3">
      <c r="A485" s="52">
        <f t="shared" si="7"/>
        <v>481</v>
      </c>
      <c r="B485" s="74" t="s">
        <v>69</v>
      </c>
      <c r="C485" s="75">
        <v>45352</v>
      </c>
      <c r="D485" s="74">
        <v>360</v>
      </c>
      <c r="E485" s="60"/>
      <c r="F485" s="76"/>
      <c r="G485" s="60"/>
      <c r="H485" s="60"/>
      <c r="I485" s="60"/>
      <c r="J485" s="60">
        <f>Table510[[#This Row],[العدد]]*Table510[[#This Row],[الفئة]]</f>
        <v>0</v>
      </c>
      <c r="K48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85" s="60"/>
      <c r="M485" s="60">
        <f>Table510[[#This Row],[اجمالي المبلغ]]-Table510[[#This Row],[المبلغ المدفوع]]</f>
        <v>0</v>
      </c>
      <c r="N485" s="60"/>
    </row>
    <row r="486" spans="1:14" hidden="1" x14ac:dyDescent="0.3">
      <c r="A486" s="52">
        <f t="shared" si="7"/>
        <v>482</v>
      </c>
      <c r="B486" s="74"/>
      <c r="C486" s="75"/>
      <c r="D486" s="74"/>
      <c r="E486" s="60"/>
      <c r="F486" s="76"/>
      <c r="G486" s="60"/>
      <c r="H486" s="60"/>
      <c r="I486" s="60"/>
      <c r="J486" s="60">
        <f>Table510[[#This Row],[العدد]]*Table510[[#This Row],[الفئة]]</f>
        <v>0</v>
      </c>
      <c r="K48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86" s="60"/>
      <c r="M486" s="60">
        <f>Table510[[#This Row],[اجمالي المبلغ]]-Table510[[#This Row],[المبلغ المدفوع]]</f>
        <v>0</v>
      </c>
      <c r="N486" s="60"/>
    </row>
    <row r="487" spans="1:14" hidden="1" x14ac:dyDescent="0.3">
      <c r="A487" s="52">
        <f t="shared" si="7"/>
        <v>483</v>
      </c>
      <c r="B487" s="74" t="s">
        <v>120</v>
      </c>
      <c r="C487" s="75">
        <v>45354</v>
      </c>
      <c r="D487" s="74">
        <v>361</v>
      </c>
      <c r="E487" s="60">
        <v>400</v>
      </c>
      <c r="F487" s="76">
        <v>5</v>
      </c>
      <c r="G487" s="60">
        <v>39</v>
      </c>
      <c r="H487" s="60"/>
      <c r="I487" s="60"/>
      <c r="J487" s="60">
        <f>Table510[[#This Row],[العدد]]*Table510[[#This Row],[الفئة]]</f>
        <v>2000</v>
      </c>
      <c r="K48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78000</v>
      </c>
      <c r="L487" s="60"/>
      <c r="M487" s="60">
        <f>Table510[[#This Row],[اجمالي المبلغ]]-Table510[[#This Row],[المبلغ المدفوع]]</f>
        <v>78000</v>
      </c>
      <c r="N487" s="60"/>
    </row>
    <row r="488" spans="1:14" hidden="1" x14ac:dyDescent="0.3">
      <c r="A488" s="52">
        <f t="shared" si="7"/>
        <v>484</v>
      </c>
      <c r="B488" s="74" t="s">
        <v>120</v>
      </c>
      <c r="C488" s="75">
        <v>45354</v>
      </c>
      <c r="D488" s="74">
        <v>361</v>
      </c>
      <c r="E488" s="60">
        <v>50</v>
      </c>
      <c r="F488" s="76">
        <v>0.8</v>
      </c>
      <c r="G488" s="60">
        <v>38</v>
      </c>
      <c r="H488" s="60"/>
      <c r="I488" s="60"/>
      <c r="J488" s="60">
        <f>Table510[[#This Row],[العدد]]*Table510[[#This Row],[الفئة]]</f>
        <v>40</v>
      </c>
      <c r="K48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1900</v>
      </c>
      <c r="L488" s="60"/>
      <c r="M488" s="60">
        <f>Table510[[#This Row],[اجمالي المبلغ]]-Table510[[#This Row],[المبلغ المدفوع]]</f>
        <v>1900</v>
      </c>
      <c r="N488" s="60"/>
    </row>
    <row r="489" spans="1:14" hidden="1" x14ac:dyDescent="0.3">
      <c r="A489" s="52">
        <f t="shared" si="7"/>
        <v>485</v>
      </c>
      <c r="B489" s="74"/>
      <c r="C489" s="75"/>
      <c r="D489" s="74"/>
      <c r="E489" s="60"/>
      <c r="F489" s="76"/>
      <c r="G489" s="60"/>
      <c r="H489" s="60"/>
      <c r="I489" s="60"/>
      <c r="J489" s="60">
        <f>Table510[[#This Row],[العدد]]*Table510[[#This Row],[الفئة]]</f>
        <v>0</v>
      </c>
      <c r="K48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89" s="60"/>
      <c r="M489" s="60">
        <f>Table510[[#This Row],[اجمالي المبلغ]]-Table510[[#This Row],[المبلغ المدفوع]]</f>
        <v>0</v>
      </c>
      <c r="N489" s="60"/>
    </row>
    <row r="490" spans="1:14" hidden="1" x14ac:dyDescent="0.3">
      <c r="A490" s="52">
        <f t="shared" si="7"/>
        <v>486</v>
      </c>
      <c r="B490" s="74" t="s">
        <v>110</v>
      </c>
      <c r="C490" s="75">
        <v>45354</v>
      </c>
      <c r="D490" s="74">
        <v>362</v>
      </c>
      <c r="E490" s="60">
        <v>2</v>
      </c>
      <c r="F490" s="76">
        <v>5</v>
      </c>
      <c r="G490" s="60">
        <v>40</v>
      </c>
      <c r="H490" s="60"/>
      <c r="I490" s="60"/>
      <c r="J490" s="60">
        <f>Table510[[#This Row],[العدد]]*Table510[[#This Row],[الفئة]]</f>
        <v>10</v>
      </c>
      <c r="K49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</v>
      </c>
      <c r="L490" s="60">
        <v>400</v>
      </c>
      <c r="M490" s="60">
        <f>Table510[[#This Row],[اجمالي المبلغ]]-Table510[[#This Row],[المبلغ المدفوع]]</f>
        <v>0</v>
      </c>
      <c r="N490" s="60"/>
    </row>
    <row r="491" spans="1:14" hidden="1" x14ac:dyDescent="0.3">
      <c r="A491" s="52">
        <f t="shared" si="7"/>
        <v>487</v>
      </c>
      <c r="B491" s="74"/>
      <c r="C491" s="75"/>
      <c r="D491" s="74"/>
      <c r="E491" s="60"/>
      <c r="F491" s="76"/>
      <c r="G491" s="60"/>
      <c r="H491" s="60"/>
      <c r="I491" s="60"/>
      <c r="J491" s="60">
        <f>Table510[[#This Row],[العدد]]*Table510[[#This Row],[الفئة]]</f>
        <v>0</v>
      </c>
      <c r="K49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91" s="60"/>
      <c r="M491" s="60">
        <f>Table510[[#This Row],[اجمالي المبلغ]]-Table510[[#This Row],[المبلغ المدفوع]]</f>
        <v>0</v>
      </c>
      <c r="N491" s="60"/>
    </row>
    <row r="492" spans="1:14" hidden="1" x14ac:dyDescent="0.3">
      <c r="A492" s="52">
        <f t="shared" si="7"/>
        <v>488</v>
      </c>
      <c r="B492" s="78" t="s">
        <v>127</v>
      </c>
      <c r="C492" s="75">
        <v>45354</v>
      </c>
      <c r="D492" s="74">
        <v>363</v>
      </c>
      <c r="E492" s="60">
        <v>60</v>
      </c>
      <c r="F492" s="76">
        <v>5</v>
      </c>
      <c r="G492" s="77"/>
      <c r="H492" s="60"/>
      <c r="I492" s="60"/>
      <c r="J492" s="60">
        <f>Table510[[#This Row],[العدد]]*Table510[[#This Row],[الفئة]]</f>
        <v>300</v>
      </c>
      <c r="K49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92" s="60"/>
      <c r="M492" s="60">
        <f>Table510[[#This Row],[اجمالي المبلغ]]-Table510[[#This Row],[المبلغ المدفوع]]</f>
        <v>0</v>
      </c>
      <c r="N492" s="60"/>
    </row>
    <row r="493" spans="1:14" hidden="1" x14ac:dyDescent="0.3">
      <c r="A493" s="52">
        <f t="shared" si="7"/>
        <v>489</v>
      </c>
      <c r="B493" s="74"/>
      <c r="C493" s="75"/>
      <c r="D493" s="74"/>
      <c r="E493" s="60"/>
      <c r="F493" s="76"/>
      <c r="G493" s="60"/>
      <c r="H493" s="60"/>
      <c r="I493" s="60"/>
      <c r="J493" s="60">
        <f>Table510[[#This Row],[العدد]]*Table510[[#This Row],[الفئة]]</f>
        <v>0</v>
      </c>
      <c r="K49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93" s="60"/>
      <c r="M493" s="60">
        <f>Table510[[#This Row],[اجمالي المبلغ]]-Table510[[#This Row],[المبلغ المدفوع]]</f>
        <v>0</v>
      </c>
      <c r="N493" s="60"/>
    </row>
    <row r="494" spans="1:14" hidden="1" x14ac:dyDescent="0.3">
      <c r="A494" s="52">
        <f t="shared" si="7"/>
        <v>490</v>
      </c>
      <c r="B494" s="74" t="s">
        <v>132</v>
      </c>
      <c r="C494" s="75">
        <v>45354</v>
      </c>
      <c r="D494" s="74">
        <v>364</v>
      </c>
      <c r="E494" s="60">
        <v>500</v>
      </c>
      <c r="F494" s="76">
        <v>5</v>
      </c>
      <c r="G494" s="60">
        <v>39</v>
      </c>
      <c r="H494" s="60"/>
      <c r="I494" s="60">
        <v>200</v>
      </c>
      <c r="J494" s="60">
        <f>Table510[[#This Row],[العدد]]*Table510[[#This Row],[الفئة]]</f>
        <v>2500</v>
      </c>
      <c r="K49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97700</v>
      </c>
      <c r="L494" s="60">
        <f>Table510[[#This Row],[اجمالي المبلغ]]</f>
        <v>97700</v>
      </c>
      <c r="M494" s="60">
        <f>Table510[[#This Row],[اجمالي المبلغ]]-Table510[[#This Row],[المبلغ المدفوع]]</f>
        <v>0</v>
      </c>
      <c r="N494" s="60"/>
    </row>
    <row r="495" spans="1:14" hidden="1" x14ac:dyDescent="0.3">
      <c r="A495" s="52">
        <f t="shared" si="7"/>
        <v>491</v>
      </c>
      <c r="B495" s="74"/>
      <c r="C495" s="75"/>
      <c r="D495" s="74"/>
      <c r="E495" s="60"/>
      <c r="F495" s="76"/>
      <c r="G495" s="60"/>
      <c r="H495" s="60"/>
      <c r="I495" s="60"/>
      <c r="J495" s="60">
        <f>Table510[[#This Row],[العدد]]*Table510[[#This Row],[الفئة]]</f>
        <v>0</v>
      </c>
      <c r="K49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95" s="60"/>
      <c r="M495" s="60">
        <f>Table510[[#This Row],[اجمالي المبلغ]]-Table510[[#This Row],[المبلغ المدفوع]]</f>
        <v>0</v>
      </c>
      <c r="N495" s="60"/>
    </row>
    <row r="496" spans="1:14" hidden="1" x14ac:dyDescent="0.3">
      <c r="A496" s="52">
        <f t="shared" si="7"/>
        <v>492</v>
      </c>
      <c r="B496" s="74" t="s">
        <v>133</v>
      </c>
      <c r="C496" s="75">
        <v>45354</v>
      </c>
      <c r="D496" s="74">
        <v>365</v>
      </c>
      <c r="E496" s="60">
        <v>5</v>
      </c>
      <c r="F496" s="76">
        <v>5</v>
      </c>
      <c r="G496" s="60">
        <v>40</v>
      </c>
      <c r="H496" s="60"/>
      <c r="I496" s="60"/>
      <c r="J496" s="60">
        <f>Table510[[#This Row],[العدد]]*Table510[[#This Row],[الفئة]]</f>
        <v>25</v>
      </c>
      <c r="K49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1000</v>
      </c>
      <c r="L496" s="60">
        <v>1000</v>
      </c>
      <c r="M496" s="60">
        <f>Table510[[#This Row],[اجمالي المبلغ]]-Table510[[#This Row],[المبلغ المدفوع]]</f>
        <v>0</v>
      </c>
      <c r="N496" s="60"/>
    </row>
    <row r="497" spans="1:14" hidden="1" x14ac:dyDescent="0.3">
      <c r="A497" s="52">
        <f t="shared" si="7"/>
        <v>493</v>
      </c>
      <c r="B497" s="74" t="s">
        <v>133</v>
      </c>
      <c r="C497" s="75">
        <v>45354</v>
      </c>
      <c r="D497" s="74">
        <v>365</v>
      </c>
      <c r="E497" s="60">
        <v>20</v>
      </c>
      <c r="F497" s="76">
        <v>1.6</v>
      </c>
      <c r="G497" s="60">
        <v>38</v>
      </c>
      <c r="H497" s="60">
        <v>20</v>
      </c>
      <c r="I497" s="60"/>
      <c r="J497" s="60">
        <f>Table510[[#This Row],[العدد]]*Table510[[#This Row],[الفئة]]</f>
        <v>32</v>
      </c>
      <c r="K49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1500</v>
      </c>
      <c r="L497" s="60">
        <v>1500</v>
      </c>
      <c r="M497" s="60">
        <f>Table510[[#This Row],[اجمالي المبلغ]]-Table510[[#This Row],[المبلغ المدفوع]]</f>
        <v>0</v>
      </c>
      <c r="N497" s="60"/>
    </row>
    <row r="498" spans="1:14" hidden="1" x14ac:dyDescent="0.3">
      <c r="A498" s="52">
        <f t="shared" si="7"/>
        <v>494</v>
      </c>
      <c r="B498" s="74"/>
      <c r="C498" s="75"/>
      <c r="D498" s="74"/>
      <c r="E498" s="60"/>
      <c r="F498" s="76"/>
      <c r="G498" s="60"/>
      <c r="H498" s="60"/>
      <c r="I498" s="60"/>
      <c r="J498" s="60">
        <f>Table510[[#This Row],[العدد]]*Table510[[#This Row],[الفئة]]</f>
        <v>0</v>
      </c>
      <c r="K49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498" s="60"/>
      <c r="M498" s="60">
        <f>Table510[[#This Row],[اجمالي المبلغ]]-Table510[[#This Row],[المبلغ المدفوع]]</f>
        <v>0</v>
      </c>
      <c r="N498" s="60"/>
    </row>
    <row r="499" spans="1:14" hidden="1" x14ac:dyDescent="0.3">
      <c r="A499" s="52">
        <f t="shared" si="7"/>
        <v>495</v>
      </c>
      <c r="B499" s="74" t="s">
        <v>22</v>
      </c>
      <c r="C499" s="75">
        <v>45355</v>
      </c>
      <c r="D499" s="74">
        <v>366</v>
      </c>
      <c r="E499" s="60">
        <v>13</v>
      </c>
      <c r="F499" s="76">
        <v>5</v>
      </c>
      <c r="G499" s="60">
        <v>39</v>
      </c>
      <c r="H499" s="60"/>
      <c r="I499" s="60"/>
      <c r="J499" s="60">
        <f>Table510[[#This Row],[العدد]]*Table510[[#This Row],[الفئة]]</f>
        <v>65</v>
      </c>
      <c r="K49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2535</v>
      </c>
      <c r="L499" s="60"/>
      <c r="M499" s="60">
        <f>Table510[[#This Row],[اجمالي المبلغ]]-Table510[[#This Row],[المبلغ المدفوع]]</f>
        <v>2535</v>
      </c>
      <c r="N499" s="77" t="s">
        <v>134</v>
      </c>
    </row>
    <row r="500" spans="1:14" hidden="1" x14ac:dyDescent="0.3">
      <c r="A500" s="52">
        <f t="shared" si="7"/>
        <v>496</v>
      </c>
      <c r="B500" s="74"/>
      <c r="C500" s="75"/>
      <c r="D500" s="74"/>
      <c r="E500" s="60"/>
      <c r="F500" s="76"/>
      <c r="G500" s="60"/>
      <c r="H500" s="60"/>
      <c r="I500" s="60"/>
      <c r="J500" s="60">
        <f>Table510[[#This Row],[العدد]]*Table510[[#This Row],[الفئة]]</f>
        <v>0</v>
      </c>
      <c r="K50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00" s="60"/>
      <c r="M500" s="60">
        <f>Table510[[#This Row],[اجمالي المبلغ]]-Table510[[#This Row],[المبلغ المدفوع]]</f>
        <v>0</v>
      </c>
      <c r="N500" s="60"/>
    </row>
    <row r="501" spans="1:14" hidden="1" x14ac:dyDescent="0.3">
      <c r="A501" s="52">
        <f t="shared" si="7"/>
        <v>497</v>
      </c>
      <c r="B501" s="74" t="s">
        <v>112</v>
      </c>
      <c r="C501" s="75">
        <v>45355</v>
      </c>
      <c r="D501" s="74">
        <v>367</v>
      </c>
      <c r="E501" s="60">
        <v>60</v>
      </c>
      <c r="F501" s="76">
        <v>5</v>
      </c>
      <c r="G501" s="60">
        <v>40</v>
      </c>
      <c r="H501" s="60"/>
      <c r="I501" s="60"/>
      <c r="J501" s="60">
        <f>Table510[[#This Row],[العدد]]*Table510[[#This Row],[الفئة]]</f>
        <v>300</v>
      </c>
      <c r="K50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12000</v>
      </c>
      <c r="L501" s="60">
        <v>30000</v>
      </c>
      <c r="M501" s="60">
        <f>Table510[[#This Row],[اجمالي المبلغ]]-Table510[[#This Row],[المبلغ المدفوع]]</f>
        <v>-18000</v>
      </c>
      <c r="N501" s="60"/>
    </row>
    <row r="502" spans="1:14" hidden="1" x14ac:dyDescent="0.3">
      <c r="A502" s="52">
        <f t="shared" si="7"/>
        <v>498</v>
      </c>
      <c r="B502" s="74" t="s">
        <v>112</v>
      </c>
      <c r="C502" s="75">
        <v>45355</v>
      </c>
      <c r="D502" s="74">
        <v>367</v>
      </c>
      <c r="E502" s="60">
        <v>26</v>
      </c>
      <c r="F502" s="76">
        <v>0.8</v>
      </c>
      <c r="G502" s="60">
        <v>38</v>
      </c>
      <c r="H502" s="60"/>
      <c r="I502" s="60"/>
      <c r="J502" s="60">
        <f>Table510[[#This Row],[العدد]]*Table510[[#This Row],[الفئة]]</f>
        <v>20.8</v>
      </c>
      <c r="K50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988</v>
      </c>
      <c r="L502" s="60"/>
      <c r="M502" s="60">
        <f>Table510[[#This Row],[اجمالي المبلغ]]-Table510[[#This Row],[المبلغ المدفوع]]</f>
        <v>988</v>
      </c>
      <c r="N502" s="60"/>
    </row>
    <row r="503" spans="1:14" hidden="1" x14ac:dyDescent="0.3">
      <c r="A503" s="52">
        <f t="shared" si="7"/>
        <v>499</v>
      </c>
      <c r="B503" s="74" t="s">
        <v>112</v>
      </c>
      <c r="C503" s="80">
        <v>45361</v>
      </c>
      <c r="D503" s="74">
        <v>367</v>
      </c>
      <c r="E503" s="60"/>
      <c r="F503" s="76"/>
      <c r="G503" s="60"/>
      <c r="H503" s="60"/>
      <c r="I503" s="60"/>
      <c r="J503" s="60">
        <f>Table510[[#This Row],[العدد]]*Table510[[#This Row],[الفئة]]</f>
        <v>0</v>
      </c>
      <c r="K50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03" s="81">
        <v>9000</v>
      </c>
      <c r="M503" s="60">
        <f>Table510[[#This Row],[اجمالي المبلغ]]-Table510[[#This Row],[المبلغ المدفوع]]</f>
        <v>-9000</v>
      </c>
      <c r="N503" s="60"/>
    </row>
    <row r="504" spans="1:14" hidden="1" x14ac:dyDescent="0.3">
      <c r="A504" s="52">
        <f t="shared" si="7"/>
        <v>500</v>
      </c>
      <c r="B504" s="74"/>
      <c r="C504" s="75"/>
      <c r="D504" s="74"/>
      <c r="E504" s="60"/>
      <c r="F504" s="76"/>
      <c r="G504" s="60"/>
      <c r="H504" s="60"/>
      <c r="I504" s="60"/>
      <c r="J504" s="60">
        <f>Table510[[#This Row],[العدد]]*Table510[[#This Row],[الفئة]]</f>
        <v>0</v>
      </c>
      <c r="K50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04" s="60"/>
      <c r="M504" s="60">
        <f>Table510[[#This Row],[اجمالي المبلغ]]-Table510[[#This Row],[المبلغ المدفوع]]</f>
        <v>0</v>
      </c>
      <c r="N504" s="60"/>
    </row>
    <row r="505" spans="1:14" hidden="1" x14ac:dyDescent="0.3">
      <c r="A505" s="52">
        <f t="shared" si="7"/>
        <v>501</v>
      </c>
      <c r="B505" s="74" t="s">
        <v>135</v>
      </c>
      <c r="C505" s="75">
        <v>45355</v>
      </c>
      <c r="D505" s="74">
        <v>368</v>
      </c>
      <c r="E505" s="60">
        <v>139</v>
      </c>
      <c r="F505" s="76">
        <v>5</v>
      </c>
      <c r="G505" s="60">
        <v>44</v>
      </c>
      <c r="H505" s="60"/>
      <c r="I505" s="60"/>
      <c r="J505" s="60">
        <f>Table510[[#This Row],[العدد]]*Table510[[#This Row],[الفئة]]</f>
        <v>695</v>
      </c>
      <c r="K50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30580</v>
      </c>
      <c r="L505" s="60"/>
      <c r="M505" s="60">
        <f>Table510[[#This Row],[اجمالي المبلغ]]-Table510[[#This Row],[المبلغ المدفوع]]</f>
        <v>30580</v>
      </c>
      <c r="N505" s="60"/>
    </row>
    <row r="506" spans="1:14" hidden="1" x14ac:dyDescent="0.3">
      <c r="A506" s="52">
        <f t="shared" si="7"/>
        <v>502</v>
      </c>
      <c r="B506" s="74" t="s">
        <v>135</v>
      </c>
      <c r="C506" s="75">
        <v>45355</v>
      </c>
      <c r="D506" s="74">
        <v>368</v>
      </c>
      <c r="E506" s="60">
        <v>41</v>
      </c>
      <c r="F506" s="76">
        <v>5</v>
      </c>
      <c r="G506" s="60">
        <v>40</v>
      </c>
      <c r="H506" s="60"/>
      <c r="I506" s="60"/>
      <c r="J506" s="60">
        <f>Table510[[#This Row],[العدد]]*Table510[[#This Row],[الفئة]]</f>
        <v>205</v>
      </c>
      <c r="K50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8200</v>
      </c>
      <c r="L506" s="60"/>
      <c r="M506" s="60">
        <f>Table510[[#This Row],[اجمالي المبلغ]]-Table510[[#This Row],[المبلغ المدفوع]]</f>
        <v>8200</v>
      </c>
      <c r="N506" s="60"/>
    </row>
    <row r="507" spans="1:14" hidden="1" x14ac:dyDescent="0.3">
      <c r="A507" s="52">
        <f t="shared" si="7"/>
        <v>503</v>
      </c>
      <c r="B507" s="74"/>
      <c r="C507" s="75"/>
      <c r="D507" s="74"/>
      <c r="E507" s="60"/>
      <c r="F507" s="76"/>
      <c r="G507" s="60"/>
      <c r="H507" s="60"/>
      <c r="I507" s="60"/>
      <c r="J507" s="60">
        <f>Table510[[#This Row],[العدد]]*Table510[[#This Row],[الفئة]]</f>
        <v>0</v>
      </c>
      <c r="K50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07" s="60"/>
      <c r="M507" s="60">
        <f>Table510[[#This Row],[اجمالي المبلغ]]-Table510[[#This Row],[المبلغ المدفوع]]</f>
        <v>0</v>
      </c>
      <c r="N507" s="60"/>
    </row>
    <row r="508" spans="1:14" hidden="1" x14ac:dyDescent="0.3">
      <c r="A508" s="52">
        <f t="shared" si="7"/>
        <v>504</v>
      </c>
      <c r="B508" s="74" t="s">
        <v>89</v>
      </c>
      <c r="C508" s="75">
        <v>45358</v>
      </c>
      <c r="D508" s="74">
        <v>369</v>
      </c>
      <c r="E508" s="60">
        <v>230</v>
      </c>
      <c r="F508" s="76">
        <v>0.8</v>
      </c>
      <c r="G508" s="60">
        <v>38</v>
      </c>
      <c r="H508" s="60"/>
      <c r="I508" s="60"/>
      <c r="J508" s="60">
        <f>Table510[[#This Row],[العدد]]*Table510[[#This Row],[الفئة]]</f>
        <v>184</v>
      </c>
      <c r="K50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8740</v>
      </c>
      <c r="L508" s="60"/>
      <c r="M508" s="60">
        <f>Table510[[#This Row],[اجمالي المبلغ]]-Table510[[#This Row],[المبلغ المدفوع]]</f>
        <v>8740</v>
      </c>
      <c r="N508" s="60"/>
    </row>
    <row r="509" spans="1:14" hidden="1" x14ac:dyDescent="0.3">
      <c r="A509" s="52">
        <f t="shared" si="7"/>
        <v>505</v>
      </c>
      <c r="B509" s="74" t="s">
        <v>89</v>
      </c>
      <c r="C509" s="75">
        <v>45358</v>
      </c>
      <c r="D509" s="74">
        <v>369</v>
      </c>
      <c r="E509" s="60">
        <v>100</v>
      </c>
      <c r="F509" s="76">
        <v>0.8</v>
      </c>
      <c r="G509" s="60">
        <v>40</v>
      </c>
      <c r="H509" s="60"/>
      <c r="I509" s="60"/>
      <c r="J509" s="60">
        <f>Table510[[#This Row],[العدد]]*Table510[[#This Row],[الفئة]]</f>
        <v>80</v>
      </c>
      <c r="K50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4000</v>
      </c>
      <c r="L509" s="60"/>
      <c r="M509" s="60">
        <f>Table510[[#This Row],[اجمالي المبلغ]]-Table510[[#This Row],[المبلغ المدفوع]]</f>
        <v>4000</v>
      </c>
      <c r="N509" s="60"/>
    </row>
    <row r="510" spans="1:14" hidden="1" x14ac:dyDescent="0.3">
      <c r="A510" s="52">
        <f t="shared" si="7"/>
        <v>506</v>
      </c>
      <c r="B510" s="74"/>
      <c r="C510" s="75"/>
      <c r="D510" s="74"/>
      <c r="E510" s="60"/>
      <c r="F510" s="76"/>
      <c r="G510" s="60"/>
      <c r="H510" s="60"/>
      <c r="I510" s="60"/>
      <c r="J510" s="60">
        <f>Table510[[#This Row],[العدد]]*Table510[[#This Row],[الفئة]]</f>
        <v>0</v>
      </c>
      <c r="K51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10" s="60"/>
      <c r="M510" s="60">
        <f>Table510[[#This Row],[اجمالي المبلغ]]-Table510[[#This Row],[المبلغ المدفوع]]</f>
        <v>0</v>
      </c>
      <c r="N510" s="60"/>
    </row>
    <row r="511" spans="1:14" hidden="1" x14ac:dyDescent="0.3">
      <c r="A511" s="52">
        <f t="shared" si="7"/>
        <v>507</v>
      </c>
      <c r="B511" s="74" t="s">
        <v>19</v>
      </c>
      <c r="C511" s="75">
        <v>45329</v>
      </c>
      <c r="D511" s="74">
        <v>370</v>
      </c>
      <c r="E511" s="85">
        <v>180</v>
      </c>
      <c r="F511" s="76">
        <v>5</v>
      </c>
      <c r="G511" s="60">
        <v>40</v>
      </c>
      <c r="H511" s="60"/>
      <c r="I511" s="60"/>
      <c r="J511" s="60">
        <f>Table510[[#This Row],[العدد]]*Table510[[#This Row],[الفئة]]</f>
        <v>900</v>
      </c>
      <c r="K51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36000</v>
      </c>
      <c r="L511" s="60"/>
      <c r="M511" s="60">
        <f>Table510[[#This Row],[اجمالي المبلغ]]-Table510[[#This Row],[المبلغ المدفوع]]</f>
        <v>36000</v>
      </c>
      <c r="N511" s="85" t="s">
        <v>147</v>
      </c>
    </row>
    <row r="512" spans="1:14" hidden="1" x14ac:dyDescent="0.3">
      <c r="A512" s="52">
        <f t="shared" si="7"/>
        <v>508</v>
      </c>
      <c r="B512" s="74" t="s">
        <v>19</v>
      </c>
      <c r="C512" s="75">
        <v>45329</v>
      </c>
      <c r="D512" s="74">
        <v>370</v>
      </c>
      <c r="E512" s="60">
        <v>40</v>
      </c>
      <c r="F512" s="76">
        <v>0.8</v>
      </c>
      <c r="G512" s="60">
        <v>38</v>
      </c>
      <c r="H512" s="60"/>
      <c r="I512" s="60"/>
      <c r="J512" s="60">
        <f>Table510[[#This Row],[العدد]]*Table510[[#This Row],[الفئة]]</f>
        <v>32</v>
      </c>
      <c r="K51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1520</v>
      </c>
      <c r="L512" s="60"/>
      <c r="M512" s="60">
        <f>Table510[[#This Row],[اجمالي المبلغ]]-Table510[[#This Row],[المبلغ المدفوع]]</f>
        <v>1520</v>
      </c>
      <c r="N512" s="60"/>
    </row>
    <row r="513" spans="1:14" hidden="1" x14ac:dyDescent="0.3">
      <c r="A513" s="52">
        <f t="shared" si="7"/>
        <v>509</v>
      </c>
      <c r="B513" s="74"/>
      <c r="C513" s="75"/>
      <c r="D513" s="74"/>
      <c r="E513" s="60"/>
      <c r="F513" s="76"/>
      <c r="G513" s="60"/>
      <c r="H513" s="60"/>
      <c r="I513" s="60"/>
      <c r="J513" s="60">
        <f>Table510[[#This Row],[العدد]]*Table510[[#This Row],[الفئة]]</f>
        <v>0</v>
      </c>
      <c r="K51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13" s="60"/>
      <c r="M513" s="60">
        <f>Table510[[#This Row],[اجمالي المبلغ]]-Table510[[#This Row],[المبلغ المدفوع]]</f>
        <v>0</v>
      </c>
      <c r="N513" s="60"/>
    </row>
    <row r="514" spans="1:14" hidden="1" x14ac:dyDescent="0.3">
      <c r="A514" s="52">
        <f t="shared" si="7"/>
        <v>510</v>
      </c>
      <c r="B514" s="74" t="s">
        <v>136</v>
      </c>
      <c r="C514" s="75">
        <v>45359</v>
      </c>
      <c r="D514" s="74">
        <v>371</v>
      </c>
      <c r="E514" s="60">
        <v>46</v>
      </c>
      <c r="F514" s="76">
        <v>5</v>
      </c>
      <c r="G514" s="60">
        <v>40</v>
      </c>
      <c r="H514" s="60"/>
      <c r="I514" s="60"/>
      <c r="J514" s="60">
        <f>Table510[[#This Row],[العدد]]*Table510[[#This Row],[الفئة]]</f>
        <v>230</v>
      </c>
      <c r="K51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9200</v>
      </c>
      <c r="L514" s="60"/>
      <c r="M514" s="60">
        <f>Table510[[#This Row],[اجمالي المبلغ]]-Table510[[#This Row],[المبلغ المدفوع]]</f>
        <v>9200</v>
      </c>
      <c r="N514" s="60"/>
    </row>
    <row r="515" spans="1:14" hidden="1" x14ac:dyDescent="0.3">
      <c r="A515" s="52">
        <f t="shared" si="7"/>
        <v>511</v>
      </c>
      <c r="B515" s="74" t="s">
        <v>136</v>
      </c>
      <c r="C515" s="75">
        <v>45359</v>
      </c>
      <c r="D515" s="74">
        <v>371</v>
      </c>
      <c r="E515" s="60">
        <v>3</v>
      </c>
      <c r="F515" s="76">
        <v>10</v>
      </c>
      <c r="G515" s="60">
        <v>44</v>
      </c>
      <c r="H515" s="60"/>
      <c r="I515" s="60"/>
      <c r="J515" s="60">
        <f>Table510[[#This Row],[العدد]]*Table510[[#This Row],[الفئة]]</f>
        <v>30</v>
      </c>
      <c r="K51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1320</v>
      </c>
      <c r="L515" s="60"/>
      <c r="M515" s="60">
        <f>Table510[[#This Row],[اجمالي المبلغ]]-Table510[[#This Row],[المبلغ المدفوع]]</f>
        <v>1320</v>
      </c>
      <c r="N515" s="57" t="s">
        <v>78</v>
      </c>
    </row>
    <row r="516" spans="1:14" hidden="1" x14ac:dyDescent="0.3">
      <c r="A516" s="52">
        <f t="shared" si="7"/>
        <v>512</v>
      </c>
      <c r="B516" s="74" t="s">
        <v>136</v>
      </c>
      <c r="C516" s="75">
        <v>45359</v>
      </c>
      <c r="D516" s="74">
        <v>371</v>
      </c>
      <c r="E516" s="60">
        <v>1</v>
      </c>
      <c r="F516" s="76">
        <v>5</v>
      </c>
      <c r="G516" s="60">
        <v>44</v>
      </c>
      <c r="H516" s="60"/>
      <c r="I516" s="60"/>
      <c r="J516" s="60">
        <f>Table510[[#This Row],[العدد]]*Table510[[#This Row],[الفئة]]</f>
        <v>5</v>
      </c>
      <c r="K51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220</v>
      </c>
      <c r="L516" s="60"/>
      <c r="M516" s="60">
        <f>Table510[[#This Row],[اجمالي المبلغ]]-Table510[[#This Row],[المبلغ المدفوع]]</f>
        <v>220</v>
      </c>
      <c r="N516" s="57" t="s">
        <v>78</v>
      </c>
    </row>
    <row r="517" spans="1:14" hidden="1" x14ac:dyDescent="0.3">
      <c r="A517" s="52">
        <f t="shared" si="7"/>
        <v>513</v>
      </c>
      <c r="B517" s="74" t="s">
        <v>136</v>
      </c>
      <c r="C517" s="75">
        <v>45359</v>
      </c>
      <c r="D517" s="74">
        <v>371</v>
      </c>
      <c r="E517" s="60">
        <v>100</v>
      </c>
      <c r="F517" s="76">
        <v>1</v>
      </c>
      <c r="G517" s="60">
        <v>38</v>
      </c>
      <c r="H517" s="60"/>
      <c r="I517" s="60"/>
      <c r="J517" s="60">
        <f>Table510[[#This Row],[العدد]]*Table510[[#This Row],[الفئة]]</f>
        <v>100</v>
      </c>
      <c r="K51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3800</v>
      </c>
      <c r="L517" s="60"/>
      <c r="M517" s="60">
        <f>Table510[[#This Row],[اجمالي المبلغ]]-Table510[[#This Row],[المبلغ المدفوع]]</f>
        <v>3800</v>
      </c>
      <c r="N517" s="60"/>
    </row>
    <row r="518" spans="1:14" hidden="1" x14ac:dyDescent="0.3">
      <c r="A518" s="52">
        <f t="shared" ref="A518:A581" si="8">A517+1</f>
        <v>514</v>
      </c>
      <c r="B518" s="74" t="s">
        <v>136</v>
      </c>
      <c r="C518" s="75">
        <v>45359</v>
      </c>
      <c r="D518" s="74">
        <v>371</v>
      </c>
      <c r="E518" s="60">
        <v>51</v>
      </c>
      <c r="F518" s="76">
        <v>1</v>
      </c>
      <c r="G518" s="60">
        <v>50</v>
      </c>
      <c r="H518" s="60"/>
      <c r="I518" s="60"/>
      <c r="J518" s="60">
        <f>Table510[[#This Row],[العدد]]*Table510[[#This Row],[الفئة]]</f>
        <v>51</v>
      </c>
      <c r="K51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2550</v>
      </c>
      <c r="L518" s="60"/>
      <c r="M518" s="60">
        <f>Table510[[#This Row],[اجمالي المبلغ]]-Table510[[#This Row],[المبلغ المدفوع]]</f>
        <v>2550</v>
      </c>
      <c r="N518" s="57" t="s">
        <v>139</v>
      </c>
    </row>
    <row r="519" spans="1:14" hidden="1" x14ac:dyDescent="0.3">
      <c r="A519" s="52">
        <f t="shared" si="8"/>
        <v>515</v>
      </c>
      <c r="B519" s="74" t="s">
        <v>136</v>
      </c>
      <c r="C519" s="75">
        <v>45359</v>
      </c>
      <c r="D519" s="74">
        <v>371</v>
      </c>
      <c r="E519" s="60">
        <v>60</v>
      </c>
      <c r="F519" s="76">
        <v>1</v>
      </c>
      <c r="G519" s="60">
        <v>50</v>
      </c>
      <c r="H519" s="60"/>
      <c r="I519" s="60"/>
      <c r="J519" s="60">
        <f>Table510[[#This Row],[العدد]]*Table510[[#This Row],[الفئة]]</f>
        <v>60</v>
      </c>
      <c r="K51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3000</v>
      </c>
      <c r="L519" s="60"/>
      <c r="M519" s="60">
        <f>Table510[[#This Row],[اجمالي المبلغ]]-Table510[[#This Row],[المبلغ المدفوع]]</f>
        <v>3000</v>
      </c>
      <c r="N519" s="60"/>
    </row>
    <row r="520" spans="1:14" hidden="1" x14ac:dyDescent="0.3">
      <c r="A520" s="52">
        <f t="shared" si="8"/>
        <v>516</v>
      </c>
      <c r="B520" s="74" t="s">
        <v>136</v>
      </c>
      <c r="C520" s="75">
        <v>45359</v>
      </c>
      <c r="D520" s="79" t="s">
        <v>137</v>
      </c>
      <c r="E520" s="60">
        <v>10</v>
      </c>
      <c r="F520" s="76">
        <v>2</v>
      </c>
      <c r="G520" s="60">
        <v>100</v>
      </c>
      <c r="H520" s="60"/>
      <c r="I520" s="60"/>
      <c r="J520" s="60">
        <f>Table510[[#This Row],[العدد]]*Table510[[#This Row],[الفئة]]</f>
        <v>20</v>
      </c>
      <c r="K52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2000</v>
      </c>
      <c r="L520" s="60"/>
      <c r="M520" s="60">
        <f>Table510[[#This Row],[اجمالي المبلغ]]-Table510[[#This Row],[المبلغ المدفوع]]</f>
        <v>2000</v>
      </c>
      <c r="N520" s="62" t="s">
        <v>138</v>
      </c>
    </row>
    <row r="521" spans="1:14" hidden="1" x14ac:dyDescent="0.3">
      <c r="A521" s="52">
        <f t="shared" si="8"/>
        <v>517</v>
      </c>
      <c r="B521" s="74"/>
      <c r="C521" s="75"/>
      <c r="D521" s="74"/>
      <c r="E521" s="60"/>
      <c r="F521" s="76"/>
      <c r="G521" s="60"/>
      <c r="H521" s="60"/>
      <c r="I521" s="60"/>
      <c r="J521" s="60">
        <f>Table510[[#This Row],[العدد]]*Table510[[#This Row],[الفئة]]</f>
        <v>0</v>
      </c>
      <c r="K52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1" s="60"/>
      <c r="M521" s="60">
        <f>Table510[[#This Row],[اجمالي المبلغ]]-Table510[[#This Row],[المبلغ المدفوع]]</f>
        <v>0</v>
      </c>
      <c r="N521" s="60"/>
    </row>
    <row r="522" spans="1:14" hidden="1" x14ac:dyDescent="0.3">
      <c r="A522" s="52">
        <f t="shared" si="8"/>
        <v>518</v>
      </c>
      <c r="B522" s="74" t="s">
        <v>89</v>
      </c>
      <c r="C522" s="75">
        <v>45348</v>
      </c>
      <c r="D522" s="74">
        <v>372</v>
      </c>
      <c r="E522" s="60">
        <v>70</v>
      </c>
      <c r="F522" s="76">
        <v>5</v>
      </c>
      <c r="G522" s="60">
        <v>40</v>
      </c>
      <c r="H522" s="60"/>
      <c r="I522" s="60"/>
      <c r="J522" s="60">
        <f>Table510[[#This Row],[العدد]]*Table510[[#This Row],[الفئة]]</f>
        <v>350</v>
      </c>
      <c r="K52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14000</v>
      </c>
      <c r="L522" s="60"/>
      <c r="M522" s="60">
        <f>Table510[[#This Row],[اجمالي المبلغ]]-Table510[[#This Row],[المبلغ المدفوع]]</f>
        <v>14000</v>
      </c>
      <c r="N522" s="60"/>
    </row>
    <row r="523" spans="1:14" hidden="1" x14ac:dyDescent="0.3">
      <c r="A523" s="52">
        <f t="shared" si="8"/>
        <v>519</v>
      </c>
      <c r="B523" s="74"/>
      <c r="C523" s="75"/>
      <c r="D523" s="74"/>
      <c r="E523" s="60"/>
      <c r="F523" s="76"/>
      <c r="G523" s="60"/>
      <c r="H523" s="60"/>
      <c r="I523" s="60"/>
      <c r="J523" s="60">
        <f>Table510[[#This Row],[العدد]]*Table510[[#This Row],[الفئة]]</f>
        <v>0</v>
      </c>
      <c r="K52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3" s="60"/>
      <c r="M523" s="60">
        <f>Table510[[#This Row],[اجمالي المبلغ]]-Table510[[#This Row],[المبلغ المدفوع]]</f>
        <v>0</v>
      </c>
      <c r="N523" s="60"/>
    </row>
    <row r="524" spans="1:14" hidden="1" x14ac:dyDescent="0.3">
      <c r="A524" s="52">
        <f t="shared" si="8"/>
        <v>520</v>
      </c>
      <c r="B524" s="74"/>
      <c r="C524" s="75"/>
      <c r="D524" s="74"/>
      <c r="E524" s="60"/>
      <c r="F524" s="76"/>
      <c r="G524" s="60"/>
      <c r="H524" s="60"/>
      <c r="I524" s="60"/>
      <c r="J524" s="60">
        <f>Table510[[#This Row],[العدد]]*Table510[[#This Row],[الفئة]]</f>
        <v>0</v>
      </c>
      <c r="K52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4" s="60"/>
      <c r="M524" s="60">
        <f>Table510[[#This Row],[اجمالي المبلغ]]-Table510[[#This Row],[المبلغ المدفوع]]</f>
        <v>0</v>
      </c>
      <c r="N524" s="60"/>
    </row>
    <row r="525" spans="1:14" hidden="1" x14ac:dyDescent="0.3">
      <c r="A525" s="52">
        <f t="shared" si="8"/>
        <v>521</v>
      </c>
      <c r="B525" s="74"/>
      <c r="C525" s="75"/>
      <c r="D525" s="74"/>
      <c r="E525" s="60"/>
      <c r="F525" s="76"/>
      <c r="G525" s="60"/>
      <c r="H525" s="60"/>
      <c r="I525" s="60"/>
      <c r="J525" s="60">
        <f>Table510[[#This Row],[العدد]]*Table510[[#This Row],[الفئة]]</f>
        <v>0</v>
      </c>
      <c r="K52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5" s="60"/>
      <c r="M525" s="60">
        <f>Table510[[#This Row],[اجمالي المبلغ]]-Table510[[#This Row],[المبلغ المدفوع]]</f>
        <v>0</v>
      </c>
      <c r="N525" s="60"/>
    </row>
    <row r="526" spans="1:14" hidden="1" x14ac:dyDescent="0.3">
      <c r="A526" s="52">
        <f t="shared" si="8"/>
        <v>522</v>
      </c>
      <c r="B526" s="74"/>
      <c r="C526" s="75"/>
      <c r="D526" s="74"/>
      <c r="E526" s="60"/>
      <c r="F526" s="76"/>
      <c r="G526" s="60"/>
      <c r="H526" s="60"/>
      <c r="I526" s="60"/>
      <c r="J526" s="60">
        <f>Table510[[#This Row],[العدد]]*Table510[[#This Row],[الفئة]]</f>
        <v>0</v>
      </c>
      <c r="K52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6" s="60"/>
      <c r="M526" s="60">
        <f>Table510[[#This Row],[اجمالي المبلغ]]-Table510[[#This Row],[المبلغ المدفوع]]</f>
        <v>0</v>
      </c>
      <c r="N526" s="60"/>
    </row>
    <row r="527" spans="1:14" hidden="1" x14ac:dyDescent="0.3">
      <c r="A527" s="52">
        <f t="shared" si="8"/>
        <v>523</v>
      </c>
      <c r="B527" s="74"/>
      <c r="C527" s="75"/>
      <c r="D527" s="74"/>
      <c r="E527" s="60"/>
      <c r="F527" s="76"/>
      <c r="G527" s="60"/>
      <c r="H527" s="60"/>
      <c r="I527" s="60"/>
      <c r="J527" s="60">
        <f>Table510[[#This Row],[العدد]]*Table510[[#This Row],[الفئة]]</f>
        <v>0</v>
      </c>
      <c r="K52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7" s="60"/>
      <c r="M527" s="60">
        <f>Table510[[#This Row],[اجمالي المبلغ]]-Table510[[#This Row],[المبلغ المدفوع]]</f>
        <v>0</v>
      </c>
      <c r="N527" s="60"/>
    </row>
    <row r="528" spans="1:14" hidden="1" x14ac:dyDescent="0.3">
      <c r="A528" s="52">
        <f t="shared" si="8"/>
        <v>524</v>
      </c>
      <c r="B528" s="74"/>
      <c r="C528" s="75"/>
      <c r="D528" s="74"/>
      <c r="E528" s="60"/>
      <c r="F528" s="76"/>
      <c r="G528" s="60"/>
      <c r="H528" s="60"/>
      <c r="I528" s="60"/>
      <c r="J528" s="60">
        <f>Table510[[#This Row],[العدد]]*Table510[[#This Row],[الفئة]]</f>
        <v>0</v>
      </c>
      <c r="K52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8" s="60"/>
      <c r="M528" s="60">
        <f>Table510[[#This Row],[اجمالي المبلغ]]-Table510[[#This Row],[المبلغ المدفوع]]</f>
        <v>0</v>
      </c>
      <c r="N528" s="60"/>
    </row>
    <row r="529" spans="1:14" hidden="1" x14ac:dyDescent="0.3">
      <c r="A529" s="52">
        <f t="shared" si="8"/>
        <v>525</v>
      </c>
      <c r="B529" s="74"/>
      <c r="C529" s="75"/>
      <c r="D529" s="74"/>
      <c r="E529" s="60"/>
      <c r="F529" s="76"/>
      <c r="G529" s="60"/>
      <c r="H529" s="60"/>
      <c r="I529" s="60"/>
      <c r="J529" s="60">
        <f>Table510[[#This Row],[العدد]]*Table510[[#This Row],[الفئة]]</f>
        <v>0</v>
      </c>
      <c r="K52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29" s="60"/>
      <c r="M529" s="60">
        <f>Table510[[#This Row],[اجمالي المبلغ]]-Table510[[#This Row],[المبلغ المدفوع]]</f>
        <v>0</v>
      </c>
      <c r="N529" s="60"/>
    </row>
    <row r="530" spans="1:14" hidden="1" x14ac:dyDescent="0.3">
      <c r="A530" s="52">
        <f t="shared" si="8"/>
        <v>526</v>
      </c>
      <c r="B530" s="74"/>
      <c r="C530" s="75"/>
      <c r="D530" s="74"/>
      <c r="E530" s="60"/>
      <c r="F530" s="76"/>
      <c r="G530" s="60"/>
      <c r="H530" s="60"/>
      <c r="I530" s="60"/>
      <c r="J530" s="60">
        <f>Table510[[#This Row],[العدد]]*Table510[[#This Row],[الفئة]]</f>
        <v>0</v>
      </c>
      <c r="K53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0" s="60"/>
      <c r="M530" s="60">
        <f>Table510[[#This Row],[اجمالي المبلغ]]-Table510[[#This Row],[المبلغ المدفوع]]</f>
        <v>0</v>
      </c>
      <c r="N530" s="60"/>
    </row>
    <row r="531" spans="1:14" hidden="1" x14ac:dyDescent="0.3">
      <c r="A531" s="52">
        <f t="shared" si="8"/>
        <v>527</v>
      </c>
      <c r="B531" s="74"/>
      <c r="C531" s="75"/>
      <c r="D531" s="74"/>
      <c r="E531" s="60"/>
      <c r="F531" s="76"/>
      <c r="G531" s="60"/>
      <c r="H531" s="60"/>
      <c r="I531" s="60"/>
      <c r="J531" s="60">
        <f>Table510[[#This Row],[العدد]]*Table510[[#This Row],[الفئة]]</f>
        <v>0</v>
      </c>
      <c r="K53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1" s="60"/>
      <c r="M531" s="60">
        <f>Table510[[#This Row],[اجمالي المبلغ]]-Table510[[#This Row],[المبلغ المدفوع]]</f>
        <v>0</v>
      </c>
      <c r="N531" s="60"/>
    </row>
    <row r="532" spans="1:14" hidden="1" x14ac:dyDescent="0.3">
      <c r="A532" s="52">
        <f t="shared" si="8"/>
        <v>528</v>
      </c>
      <c r="B532" s="74"/>
      <c r="C532" s="75"/>
      <c r="D532" s="74"/>
      <c r="E532" s="60"/>
      <c r="F532" s="76"/>
      <c r="G532" s="60"/>
      <c r="H532" s="60"/>
      <c r="I532" s="60"/>
      <c r="J532" s="60">
        <f>Table510[[#This Row],[العدد]]*Table510[[#This Row],[الفئة]]</f>
        <v>0</v>
      </c>
      <c r="K53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2" s="60"/>
      <c r="M532" s="60">
        <f>Table510[[#This Row],[اجمالي المبلغ]]-Table510[[#This Row],[المبلغ المدفوع]]</f>
        <v>0</v>
      </c>
      <c r="N532" s="60"/>
    </row>
    <row r="533" spans="1:14" hidden="1" x14ac:dyDescent="0.3">
      <c r="A533" s="52">
        <f t="shared" si="8"/>
        <v>529</v>
      </c>
      <c r="B533" s="74"/>
      <c r="C533" s="75"/>
      <c r="D533" s="74"/>
      <c r="E533" s="60"/>
      <c r="F533" s="76"/>
      <c r="G533" s="60"/>
      <c r="H533" s="60"/>
      <c r="I533" s="60"/>
      <c r="J533" s="60">
        <f>Table510[[#This Row],[العدد]]*Table510[[#This Row],[الفئة]]</f>
        <v>0</v>
      </c>
      <c r="K53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3" s="60"/>
      <c r="M533" s="60">
        <f>Table510[[#This Row],[اجمالي المبلغ]]-Table510[[#This Row],[المبلغ المدفوع]]</f>
        <v>0</v>
      </c>
      <c r="N533" s="60"/>
    </row>
    <row r="534" spans="1:14" hidden="1" x14ac:dyDescent="0.3">
      <c r="A534" s="52">
        <f t="shared" si="8"/>
        <v>530</v>
      </c>
      <c r="B534" s="74"/>
      <c r="C534" s="75"/>
      <c r="D534" s="74"/>
      <c r="E534" s="60"/>
      <c r="F534" s="76"/>
      <c r="G534" s="60"/>
      <c r="H534" s="60"/>
      <c r="I534" s="60"/>
      <c r="J534" s="60">
        <f>Table510[[#This Row],[العدد]]*Table510[[#This Row],[الفئة]]</f>
        <v>0</v>
      </c>
      <c r="K53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4" s="60"/>
      <c r="M534" s="60">
        <f>Table510[[#This Row],[اجمالي المبلغ]]-Table510[[#This Row],[المبلغ المدفوع]]</f>
        <v>0</v>
      </c>
      <c r="N534" s="60"/>
    </row>
    <row r="535" spans="1:14" hidden="1" x14ac:dyDescent="0.3">
      <c r="A535" s="52">
        <f t="shared" si="8"/>
        <v>531</v>
      </c>
      <c r="B535" s="74"/>
      <c r="C535" s="75"/>
      <c r="D535" s="74"/>
      <c r="E535" s="60"/>
      <c r="F535" s="76"/>
      <c r="G535" s="60"/>
      <c r="H535" s="60"/>
      <c r="I535" s="60"/>
      <c r="J535" s="60">
        <f>Table510[[#This Row],[العدد]]*Table510[[#This Row],[الفئة]]</f>
        <v>0</v>
      </c>
      <c r="K53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5" s="60"/>
      <c r="M535" s="60">
        <f>Table510[[#This Row],[اجمالي المبلغ]]-Table510[[#This Row],[المبلغ المدفوع]]</f>
        <v>0</v>
      </c>
      <c r="N535" s="60"/>
    </row>
    <row r="536" spans="1:14" hidden="1" x14ac:dyDescent="0.3">
      <c r="A536" s="52">
        <f t="shared" si="8"/>
        <v>532</v>
      </c>
      <c r="B536" s="74"/>
      <c r="C536" s="75"/>
      <c r="D536" s="74"/>
      <c r="E536" s="60"/>
      <c r="F536" s="76"/>
      <c r="G536" s="60"/>
      <c r="H536" s="60"/>
      <c r="I536" s="60"/>
      <c r="J536" s="60">
        <f>Table510[[#This Row],[العدد]]*Table510[[#This Row],[الفئة]]</f>
        <v>0</v>
      </c>
      <c r="K53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6" s="60"/>
      <c r="M536" s="60">
        <f>Table510[[#This Row],[اجمالي المبلغ]]-Table510[[#This Row],[المبلغ المدفوع]]</f>
        <v>0</v>
      </c>
      <c r="N536" s="60"/>
    </row>
    <row r="537" spans="1:14" hidden="1" x14ac:dyDescent="0.3">
      <c r="A537" s="52">
        <f t="shared" si="8"/>
        <v>533</v>
      </c>
      <c r="B537" s="74"/>
      <c r="C537" s="75"/>
      <c r="D537" s="74"/>
      <c r="E537" s="60"/>
      <c r="F537" s="76"/>
      <c r="G537" s="60"/>
      <c r="H537" s="60"/>
      <c r="I537" s="60"/>
      <c r="J537" s="60">
        <f>Table510[[#This Row],[العدد]]*Table510[[#This Row],[الفئة]]</f>
        <v>0</v>
      </c>
      <c r="K53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7" s="60"/>
      <c r="M537" s="60">
        <f>Table510[[#This Row],[اجمالي المبلغ]]-Table510[[#This Row],[المبلغ المدفوع]]</f>
        <v>0</v>
      </c>
      <c r="N537" s="60"/>
    </row>
    <row r="538" spans="1:14" hidden="1" x14ac:dyDescent="0.3">
      <c r="A538" s="52">
        <f t="shared" si="8"/>
        <v>534</v>
      </c>
      <c r="B538" s="74"/>
      <c r="C538" s="75"/>
      <c r="D538" s="74"/>
      <c r="E538" s="60"/>
      <c r="F538" s="76"/>
      <c r="G538" s="60"/>
      <c r="H538" s="60"/>
      <c r="I538" s="60"/>
      <c r="J538" s="60">
        <f>Table510[[#This Row],[العدد]]*Table510[[#This Row],[الفئة]]</f>
        <v>0</v>
      </c>
      <c r="K53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8" s="60"/>
      <c r="M538" s="60">
        <f>Table510[[#This Row],[اجمالي المبلغ]]-Table510[[#This Row],[المبلغ المدفوع]]</f>
        <v>0</v>
      </c>
      <c r="N538" s="60"/>
    </row>
    <row r="539" spans="1:14" hidden="1" x14ac:dyDescent="0.3">
      <c r="A539" s="52">
        <f t="shared" si="8"/>
        <v>535</v>
      </c>
      <c r="B539" s="74"/>
      <c r="C539" s="75"/>
      <c r="D539" s="74"/>
      <c r="E539" s="60"/>
      <c r="F539" s="76"/>
      <c r="G539" s="60"/>
      <c r="H539" s="60"/>
      <c r="I539" s="60"/>
      <c r="J539" s="60">
        <f>Table510[[#This Row],[العدد]]*Table510[[#This Row],[الفئة]]</f>
        <v>0</v>
      </c>
      <c r="K53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39" s="60"/>
      <c r="M539" s="60">
        <f>Table510[[#This Row],[اجمالي المبلغ]]-Table510[[#This Row],[المبلغ المدفوع]]</f>
        <v>0</v>
      </c>
      <c r="N539" s="60"/>
    </row>
    <row r="540" spans="1:14" hidden="1" x14ac:dyDescent="0.3">
      <c r="A540" s="52">
        <f t="shared" si="8"/>
        <v>536</v>
      </c>
      <c r="B540" s="74"/>
      <c r="C540" s="75"/>
      <c r="D540" s="74"/>
      <c r="E540" s="60"/>
      <c r="F540" s="76"/>
      <c r="G540" s="60"/>
      <c r="H540" s="60"/>
      <c r="I540" s="60"/>
      <c r="J540" s="60">
        <f>Table510[[#This Row],[العدد]]*Table510[[#This Row],[الفئة]]</f>
        <v>0</v>
      </c>
      <c r="K54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0" s="60"/>
      <c r="M540" s="60">
        <f>Table510[[#This Row],[اجمالي المبلغ]]-Table510[[#This Row],[المبلغ المدفوع]]</f>
        <v>0</v>
      </c>
      <c r="N540" s="60"/>
    </row>
    <row r="541" spans="1:14" hidden="1" x14ac:dyDescent="0.3">
      <c r="A541" s="52">
        <f t="shared" si="8"/>
        <v>537</v>
      </c>
      <c r="B541" s="74"/>
      <c r="C541" s="75"/>
      <c r="D541" s="74"/>
      <c r="E541" s="60"/>
      <c r="F541" s="76"/>
      <c r="G541" s="60"/>
      <c r="H541" s="60"/>
      <c r="I541" s="60"/>
      <c r="J541" s="60">
        <f>Table510[[#This Row],[العدد]]*Table510[[#This Row],[الفئة]]</f>
        <v>0</v>
      </c>
      <c r="K54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1" s="60"/>
      <c r="M541" s="60">
        <f>Table510[[#This Row],[اجمالي المبلغ]]-Table510[[#This Row],[المبلغ المدفوع]]</f>
        <v>0</v>
      </c>
      <c r="N541" s="60"/>
    </row>
    <row r="542" spans="1:14" hidden="1" x14ac:dyDescent="0.3">
      <c r="A542" s="52">
        <f t="shared" si="8"/>
        <v>538</v>
      </c>
      <c r="B542" s="74"/>
      <c r="C542" s="75"/>
      <c r="D542" s="74"/>
      <c r="E542" s="60"/>
      <c r="F542" s="76"/>
      <c r="G542" s="60"/>
      <c r="H542" s="60"/>
      <c r="I542" s="60"/>
      <c r="J542" s="60">
        <f>Table510[[#This Row],[العدد]]*Table510[[#This Row],[الفئة]]</f>
        <v>0</v>
      </c>
      <c r="K54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2" s="60"/>
      <c r="M542" s="60">
        <f>Table510[[#This Row],[اجمالي المبلغ]]-Table510[[#This Row],[المبلغ المدفوع]]</f>
        <v>0</v>
      </c>
      <c r="N542" s="60"/>
    </row>
    <row r="543" spans="1:14" hidden="1" x14ac:dyDescent="0.3">
      <c r="A543" s="52">
        <f t="shared" si="8"/>
        <v>539</v>
      </c>
      <c r="B543" s="74"/>
      <c r="C543" s="75"/>
      <c r="D543" s="74"/>
      <c r="E543" s="60"/>
      <c r="F543" s="76"/>
      <c r="G543" s="60"/>
      <c r="H543" s="60"/>
      <c r="I543" s="60"/>
      <c r="J543" s="60">
        <f>Table510[[#This Row],[العدد]]*Table510[[#This Row],[الفئة]]</f>
        <v>0</v>
      </c>
      <c r="K54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3" s="60"/>
      <c r="M543" s="60">
        <f>Table510[[#This Row],[اجمالي المبلغ]]-Table510[[#This Row],[المبلغ المدفوع]]</f>
        <v>0</v>
      </c>
      <c r="N543" s="60"/>
    </row>
    <row r="544" spans="1:14" hidden="1" x14ac:dyDescent="0.3">
      <c r="A544" s="52">
        <f t="shared" si="8"/>
        <v>540</v>
      </c>
      <c r="B544" s="74"/>
      <c r="C544" s="75"/>
      <c r="D544" s="74"/>
      <c r="E544" s="60"/>
      <c r="F544" s="76"/>
      <c r="G544" s="60"/>
      <c r="H544" s="60"/>
      <c r="I544" s="60"/>
      <c r="J544" s="60">
        <f>Table510[[#This Row],[العدد]]*Table510[[#This Row],[الفئة]]</f>
        <v>0</v>
      </c>
      <c r="K54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4" s="60"/>
      <c r="M544" s="60">
        <f>Table510[[#This Row],[اجمالي المبلغ]]-Table510[[#This Row],[المبلغ المدفوع]]</f>
        <v>0</v>
      </c>
      <c r="N544" s="60"/>
    </row>
    <row r="545" spans="1:14" hidden="1" x14ac:dyDescent="0.3">
      <c r="A545" s="52">
        <f t="shared" si="8"/>
        <v>541</v>
      </c>
      <c r="B545" s="74"/>
      <c r="C545" s="75"/>
      <c r="D545" s="74"/>
      <c r="E545" s="60"/>
      <c r="F545" s="76"/>
      <c r="G545" s="60"/>
      <c r="H545" s="60"/>
      <c r="I545" s="60"/>
      <c r="J545" s="60">
        <f>Table510[[#This Row],[العدد]]*Table510[[#This Row],[الفئة]]</f>
        <v>0</v>
      </c>
      <c r="K54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5" s="60"/>
      <c r="M545" s="60">
        <f>Table510[[#This Row],[اجمالي المبلغ]]-Table510[[#This Row],[المبلغ المدفوع]]</f>
        <v>0</v>
      </c>
      <c r="N545" s="60"/>
    </row>
    <row r="546" spans="1:14" hidden="1" x14ac:dyDescent="0.3">
      <c r="A546" s="52">
        <f t="shared" si="8"/>
        <v>542</v>
      </c>
      <c r="B546" s="74"/>
      <c r="C546" s="75"/>
      <c r="D546" s="74"/>
      <c r="E546" s="60"/>
      <c r="F546" s="76"/>
      <c r="G546" s="60"/>
      <c r="H546" s="60"/>
      <c r="I546" s="60"/>
      <c r="J546" s="60">
        <f>Table510[[#This Row],[العدد]]*Table510[[#This Row],[الفئة]]</f>
        <v>0</v>
      </c>
      <c r="K54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6" s="60"/>
      <c r="M546" s="60">
        <f>Table510[[#This Row],[اجمالي المبلغ]]-Table510[[#This Row],[المبلغ المدفوع]]</f>
        <v>0</v>
      </c>
      <c r="N546" s="60"/>
    </row>
    <row r="547" spans="1:14" hidden="1" x14ac:dyDescent="0.3">
      <c r="A547" s="52">
        <f t="shared" si="8"/>
        <v>543</v>
      </c>
      <c r="B547" s="74"/>
      <c r="C547" s="75"/>
      <c r="D547" s="74"/>
      <c r="E547" s="60"/>
      <c r="F547" s="76"/>
      <c r="G547" s="60"/>
      <c r="H547" s="60"/>
      <c r="I547" s="60"/>
      <c r="J547" s="60">
        <f>Table510[[#This Row],[العدد]]*Table510[[#This Row],[الفئة]]</f>
        <v>0</v>
      </c>
      <c r="K54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7" s="60"/>
      <c r="M547" s="60">
        <f>Table510[[#This Row],[اجمالي المبلغ]]-Table510[[#This Row],[المبلغ المدفوع]]</f>
        <v>0</v>
      </c>
      <c r="N547" s="60"/>
    </row>
    <row r="548" spans="1:14" hidden="1" x14ac:dyDescent="0.3">
      <c r="A548" s="52">
        <f t="shared" si="8"/>
        <v>544</v>
      </c>
      <c r="B548" s="74"/>
      <c r="C548" s="75"/>
      <c r="D548" s="74"/>
      <c r="E548" s="60"/>
      <c r="F548" s="76"/>
      <c r="G548" s="60"/>
      <c r="H548" s="60"/>
      <c r="I548" s="60"/>
      <c r="J548" s="60">
        <f>Table510[[#This Row],[العدد]]*Table510[[#This Row],[الفئة]]</f>
        <v>0</v>
      </c>
      <c r="K54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8" s="60"/>
      <c r="M548" s="60">
        <f>Table510[[#This Row],[اجمالي المبلغ]]-Table510[[#This Row],[المبلغ المدفوع]]</f>
        <v>0</v>
      </c>
      <c r="N548" s="60"/>
    </row>
    <row r="549" spans="1:14" hidden="1" x14ac:dyDescent="0.3">
      <c r="A549" s="52">
        <f t="shared" si="8"/>
        <v>545</v>
      </c>
      <c r="B549" s="74"/>
      <c r="C549" s="75"/>
      <c r="D549" s="74"/>
      <c r="E549" s="60"/>
      <c r="F549" s="76"/>
      <c r="G549" s="60"/>
      <c r="H549" s="60"/>
      <c r="I549" s="60"/>
      <c r="J549" s="60">
        <f>Table510[[#This Row],[العدد]]*Table510[[#This Row],[الفئة]]</f>
        <v>0</v>
      </c>
      <c r="K54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49" s="60"/>
      <c r="M549" s="60">
        <f>Table510[[#This Row],[اجمالي المبلغ]]-Table510[[#This Row],[المبلغ المدفوع]]</f>
        <v>0</v>
      </c>
      <c r="N549" s="60"/>
    </row>
    <row r="550" spans="1:14" hidden="1" x14ac:dyDescent="0.3">
      <c r="A550" s="52">
        <f t="shared" si="8"/>
        <v>546</v>
      </c>
      <c r="B550" s="74"/>
      <c r="C550" s="75"/>
      <c r="D550" s="74"/>
      <c r="E550" s="60"/>
      <c r="F550" s="76"/>
      <c r="G550" s="60"/>
      <c r="H550" s="60"/>
      <c r="I550" s="60"/>
      <c r="J550" s="60">
        <f>Table510[[#This Row],[العدد]]*Table510[[#This Row],[الفئة]]</f>
        <v>0</v>
      </c>
      <c r="K55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0" s="60"/>
      <c r="M550" s="60">
        <f>Table510[[#This Row],[اجمالي المبلغ]]-Table510[[#This Row],[المبلغ المدفوع]]</f>
        <v>0</v>
      </c>
      <c r="N550" s="60"/>
    </row>
    <row r="551" spans="1:14" hidden="1" x14ac:dyDescent="0.3">
      <c r="A551" s="52">
        <f t="shared" si="8"/>
        <v>547</v>
      </c>
      <c r="B551" s="74"/>
      <c r="C551" s="75"/>
      <c r="D551" s="74"/>
      <c r="E551" s="60"/>
      <c r="F551" s="76"/>
      <c r="G551" s="60"/>
      <c r="H551" s="60"/>
      <c r="I551" s="60"/>
      <c r="J551" s="60">
        <f>Table510[[#This Row],[العدد]]*Table510[[#This Row],[الفئة]]</f>
        <v>0</v>
      </c>
      <c r="K55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1" s="60"/>
      <c r="M551" s="60">
        <f>Table510[[#This Row],[اجمالي المبلغ]]-Table510[[#This Row],[المبلغ المدفوع]]</f>
        <v>0</v>
      </c>
      <c r="N551" s="60"/>
    </row>
    <row r="552" spans="1:14" hidden="1" x14ac:dyDescent="0.3">
      <c r="A552" s="52">
        <f t="shared" si="8"/>
        <v>548</v>
      </c>
      <c r="B552" s="74"/>
      <c r="C552" s="75"/>
      <c r="D552" s="74"/>
      <c r="E552" s="60"/>
      <c r="F552" s="76"/>
      <c r="G552" s="60"/>
      <c r="H552" s="60"/>
      <c r="I552" s="60"/>
      <c r="J552" s="60">
        <f>Table510[[#This Row],[العدد]]*Table510[[#This Row],[الفئة]]</f>
        <v>0</v>
      </c>
      <c r="K55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2" s="60"/>
      <c r="M552" s="60">
        <f>Table510[[#This Row],[اجمالي المبلغ]]-Table510[[#This Row],[المبلغ المدفوع]]</f>
        <v>0</v>
      </c>
      <c r="N552" s="60"/>
    </row>
    <row r="553" spans="1:14" hidden="1" x14ac:dyDescent="0.3">
      <c r="A553" s="52">
        <f t="shared" si="8"/>
        <v>549</v>
      </c>
      <c r="B553" s="74"/>
      <c r="C553" s="75"/>
      <c r="D553" s="74"/>
      <c r="E553" s="60"/>
      <c r="F553" s="76"/>
      <c r="G553" s="60"/>
      <c r="H553" s="60"/>
      <c r="I553" s="60"/>
      <c r="J553" s="60">
        <f>Table510[[#This Row],[العدد]]*Table510[[#This Row],[الفئة]]</f>
        <v>0</v>
      </c>
      <c r="K55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3" s="60"/>
      <c r="M553" s="60">
        <f>Table510[[#This Row],[اجمالي المبلغ]]-Table510[[#This Row],[المبلغ المدفوع]]</f>
        <v>0</v>
      </c>
      <c r="N553" s="60"/>
    </row>
    <row r="554" spans="1:14" hidden="1" x14ac:dyDescent="0.3">
      <c r="A554" s="52">
        <f t="shared" si="8"/>
        <v>550</v>
      </c>
      <c r="B554" s="74"/>
      <c r="C554" s="75"/>
      <c r="D554" s="74"/>
      <c r="E554" s="60"/>
      <c r="F554" s="76"/>
      <c r="G554" s="60"/>
      <c r="H554" s="60"/>
      <c r="I554" s="60"/>
      <c r="J554" s="60">
        <f>Table510[[#This Row],[العدد]]*Table510[[#This Row],[الفئة]]</f>
        <v>0</v>
      </c>
      <c r="K55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4" s="60"/>
      <c r="M554" s="60">
        <f>Table510[[#This Row],[اجمالي المبلغ]]-Table510[[#This Row],[المبلغ المدفوع]]</f>
        <v>0</v>
      </c>
      <c r="N554" s="60"/>
    </row>
    <row r="555" spans="1:14" hidden="1" x14ac:dyDescent="0.3">
      <c r="A555" s="52">
        <f t="shared" si="8"/>
        <v>551</v>
      </c>
      <c r="B555" s="74"/>
      <c r="C555" s="75"/>
      <c r="D555" s="74"/>
      <c r="E555" s="60"/>
      <c r="F555" s="76"/>
      <c r="G555" s="60"/>
      <c r="H555" s="60"/>
      <c r="I555" s="60"/>
      <c r="J555" s="60">
        <f>Table510[[#This Row],[العدد]]*Table510[[#This Row],[الفئة]]</f>
        <v>0</v>
      </c>
      <c r="K55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5" s="60"/>
      <c r="M555" s="60">
        <f>Table510[[#This Row],[اجمالي المبلغ]]-Table510[[#This Row],[المبلغ المدفوع]]</f>
        <v>0</v>
      </c>
      <c r="N555" s="60"/>
    </row>
    <row r="556" spans="1:14" hidden="1" x14ac:dyDescent="0.3">
      <c r="A556" s="52">
        <f t="shared" si="8"/>
        <v>552</v>
      </c>
      <c r="B556" s="74"/>
      <c r="C556" s="75"/>
      <c r="D556" s="74"/>
      <c r="E556" s="60"/>
      <c r="F556" s="76"/>
      <c r="G556" s="60"/>
      <c r="H556" s="60"/>
      <c r="I556" s="60"/>
      <c r="J556" s="60">
        <f>Table510[[#This Row],[العدد]]*Table510[[#This Row],[الفئة]]</f>
        <v>0</v>
      </c>
      <c r="K55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6" s="60"/>
      <c r="M556" s="60">
        <f>Table510[[#This Row],[اجمالي المبلغ]]-Table510[[#This Row],[المبلغ المدفوع]]</f>
        <v>0</v>
      </c>
      <c r="N556" s="60"/>
    </row>
    <row r="557" spans="1:14" hidden="1" x14ac:dyDescent="0.3">
      <c r="A557" s="52">
        <f t="shared" si="8"/>
        <v>553</v>
      </c>
      <c r="B557" s="74"/>
      <c r="C557" s="75"/>
      <c r="D557" s="74"/>
      <c r="E557" s="60"/>
      <c r="F557" s="76"/>
      <c r="G557" s="60"/>
      <c r="H557" s="60"/>
      <c r="I557" s="60"/>
      <c r="J557" s="60">
        <f>Table510[[#This Row],[العدد]]*Table510[[#This Row],[الفئة]]</f>
        <v>0</v>
      </c>
      <c r="K55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7" s="60"/>
      <c r="M557" s="60">
        <f>Table510[[#This Row],[اجمالي المبلغ]]-Table510[[#This Row],[المبلغ المدفوع]]</f>
        <v>0</v>
      </c>
      <c r="N557" s="60"/>
    </row>
    <row r="558" spans="1:14" hidden="1" x14ac:dyDescent="0.3">
      <c r="A558" s="52">
        <f t="shared" si="8"/>
        <v>554</v>
      </c>
      <c r="B558" s="74"/>
      <c r="C558" s="75"/>
      <c r="D558" s="74"/>
      <c r="E558" s="60"/>
      <c r="F558" s="76"/>
      <c r="G558" s="60"/>
      <c r="H558" s="60"/>
      <c r="I558" s="60"/>
      <c r="J558" s="60">
        <f>Table510[[#This Row],[العدد]]*Table510[[#This Row],[الفئة]]</f>
        <v>0</v>
      </c>
      <c r="K55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8" s="60"/>
      <c r="M558" s="60">
        <f>Table510[[#This Row],[اجمالي المبلغ]]-Table510[[#This Row],[المبلغ المدفوع]]</f>
        <v>0</v>
      </c>
      <c r="N558" s="60"/>
    </row>
    <row r="559" spans="1:14" hidden="1" x14ac:dyDescent="0.3">
      <c r="A559" s="52">
        <f t="shared" si="8"/>
        <v>555</v>
      </c>
      <c r="B559" s="74"/>
      <c r="C559" s="75"/>
      <c r="D559" s="74"/>
      <c r="E559" s="60"/>
      <c r="F559" s="76"/>
      <c r="G559" s="60"/>
      <c r="H559" s="60"/>
      <c r="I559" s="60"/>
      <c r="J559" s="60">
        <f>Table510[[#This Row],[العدد]]*Table510[[#This Row],[الفئة]]</f>
        <v>0</v>
      </c>
      <c r="K55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59" s="60"/>
      <c r="M559" s="60">
        <f>Table510[[#This Row],[اجمالي المبلغ]]-Table510[[#This Row],[المبلغ المدفوع]]</f>
        <v>0</v>
      </c>
      <c r="N559" s="60"/>
    </row>
    <row r="560" spans="1:14" hidden="1" x14ac:dyDescent="0.3">
      <c r="A560" s="52">
        <f t="shared" si="8"/>
        <v>556</v>
      </c>
      <c r="B560" s="74"/>
      <c r="C560" s="75"/>
      <c r="D560" s="74"/>
      <c r="E560" s="60"/>
      <c r="F560" s="76"/>
      <c r="G560" s="60"/>
      <c r="H560" s="60"/>
      <c r="I560" s="60"/>
      <c r="J560" s="60">
        <f>Table510[[#This Row],[العدد]]*Table510[[#This Row],[الفئة]]</f>
        <v>0</v>
      </c>
      <c r="K56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0" s="60"/>
      <c r="M560" s="60">
        <f>Table510[[#This Row],[اجمالي المبلغ]]-Table510[[#This Row],[المبلغ المدفوع]]</f>
        <v>0</v>
      </c>
      <c r="N560" s="60"/>
    </row>
    <row r="561" spans="1:14" hidden="1" x14ac:dyDescent="0.3">
      <c r="A561" s="52">
        <f t="shared" si="8"/>
        <v>557</v>
      </c>
      <c r="B561" s="74"/>
      <c r="C561" s="75"/>
      <c r="D561" s="74"/>
      <c r="E561" s="60"/>
      <c r="F561" s="76"/>
      <c r="G561" s="60"/>
      <c r="H561" s="60"/>
      <c r="I561" s="60"/>
      <c r="J561" s="60">
        <f>Table510[[#This Row],[العدد]]*Table510[[#This Row],[الفئة]]</f>
        <v>0</v>
      </c>
      <c r="K56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1" s="60"/>
      <c r="M561" s="60">
        <f>Table510[[#This Row],[اجمالي المبلغ]]-Table510[[#This Row],[المبلغ المدفوع]]</f>
        <v>0</v>
      </c>
      <c r="N561" s="60"/>
    </row>
    <row r="562" spans="1:14" hidden="1" x14ac:dyDescent="0.3">
      <c r="A562" s="52">
        <f t="shared" si="8"/>
        <v>558</v>
      </c>
      <c r="B562" s="74"/>
      <c r="C562" s="75"/>
      <c r="D562" s="74"/>
      <c r="E562" s="60"/>
      <c r="F562" s="76"/>
      <c r="G562" s="60"/>
      <c r="H562" s="60"/>
      <c r="I562" s="60"/>
      <c r="J562" s="60">
        <f>Table510[[#This Row],[العدد]]*Table510[[#This Row],[الفئة]]</f>
        <v>0</v>
      </c>
      <c r="K56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2" s="60"/>
      <c r="M562" s="60">
        <f>Table510[[#This Row],[اجمالي المبلغ]]-Table510[[#This Row],[المبلغ المدفوع]]</f>
        <v>0</v>
      </c>
      <c r="N562" s="60"/>
    </row>
    <row r="563" spans="1:14" hidden="1" x14ac:dyDescent="0.3">
      <c r="A563" s="52">
        <f t="shared" si="8"/>
        <v>559</v>
      </c>
      <c r="B563" s="74"/>
      <c r="C563" s="75"/>
      <c r="D563" s="74"/>
      <c r="E563" s="60"/>
      <c r="F563" s="76"/>
      <c r="G563" s="60"/>
      <c r="H563" s="60"/>
      <c r="I563" s="60"/>
      <c r="J563" s="60">
        <f>Table510[[#This Row],[العدد]]*Table510[[#This Row],[الفئة]]</f>
        <v>0</v>
      </c>
      <c r="K56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3" s="60"/>
      <c r="M563" s="60">
        <f>Table510[[#This Row],[اجمالي المبلغ]]-Table510[[#This Row],[المبلغ المدفوع]]</f>
        <v>0</v>
      </c>
      <c r="N563" s="60"/>
    </row>
    <row r="564" spans="1:14" hidden="1" x14ac:dyDescent="0.3">
      <c r="A564" s="52">
        <f t="shared" si="8"/>
        <v>560</v>
      </c>
      <c r="B564" s="74"/>
      <c r="C564" s="75"/>
      <c r="D564" s="74"/>
      <c r="E564" s="60"/>
      <c r="F564" s="76"/>
      <c r="G564" s="60"/>
      <c r="H564" s="60"/>
      <c r="I564" s="60"/>
      <c r="J564" s="60">
        <f>Table510[[#This Row],[العدد]]*Table510[[#This Row],[الفئة]]</f>
        <v>0</v>
      </c>
      <c r="K56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4" s="60"/>
      <c r="M564" s="60">
        <f>Table510[[#This Row],[اجمالي المبلغ]]-Table510[[#This Row],[المبلغ المدفوع]]</f>
        <v>0</v>
      </c>
      <c r="N564" s="60"/>
    </row>
    <row r="565" spans="1:14" hidden="1" x14ac:dyDescent="0.3">
      <c r="A565" s="52">
        <f t="shared" si="8"/>
        <v>561</v>
      </c>
      <c r="B565" s="74"/>
      <c r="C565" s="75"/>
      <c r="D565" s="74"/>
      <c r="E565" s="60"/>
      <c r="F565" s="76"/>
      <c r="G565" s="60"/>
      <c r="H565" s="60"/>
      <c r="I565" s="60"/>
      <c r="J565" s="60">
        <f>Table510[[#This Row],[العدد]]*Table510[[#This Row],[الفئة]]</f>
        <v>0</v>
      </c>
      <c r="K56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5" s="60"/>
      <c r="M565" s="60">
        <f>Table510[[#This Row],[اجمالي المبلغ]]-Table510[[#This Row],[المبلغ المدفوع]]</f>
        <v>0</v>
      </c>
      <c r="N565" s="60"/>
    </row>
    <row r="566" spans="1:14" hidden="1" x14ac:dyDescent="0.3">
      <c r="A566" s="52">
        <f t="shared" si="8"/>
        <v>562</v>
      </c>
      <c r="B566" s="74"/>
      <c r="C566" s="75"/>
      <c r="D566" s="74"/>
      <c r="E566" s="60"/>
      <c r="F566" s="76"/>
      <c r="G566" s="60"/>
      <c r="H566" s="60"/>
      <c r="I566" s="60"/>
      <c r="J566" s="60">
        <f>Table510[[#This Row],[العدد]]*Table510[[#This Row],[الفئة]]</f>
        <v>0</v>
      </c>
      <c r="K56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6" s="60"/>
      <c r="M566" s="60">
        <f>Table510[[#This Row],[اجمالي المبلغ]]-Table510[[#This Row],[المبلغ المدفوع]]</f>
        <v>0</v>
      </c>
      <c r="N566" s="60"/>
    </row>
    <row r="567" spans="1:14" hidden="1" x14ac:dyDescent="0.3">
      <c r="A567" s="52">
        <f t="shared" si="8"/>
        <v>563</v>
      </c>
      <c r="B567" s="74"/>
      <c r="C567" s="75"/>
      <c r="D567" s="74"/>
      <c r="E567" s="60"/>
      <c r="F567" s="76"/>
      <c r="G567" s="60"/>
      <c r="H567" s="60"/>
      <c r="I567" s="60"/>
      <c r="J567" s="60">
        <f>Table510[[#This Row],[العدد]]*Table510[[#This Row],[الفئة]]</f>
        <v>0</v>
      </c>
      <c r="K56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7" s="60"/>
      <c r="M567" s="60">
        <f>Table510[[#This Row],[اجمالي المبلغ]]-Table510[[#This Row],[المبلغ المدفوع]]</f>
        <v>0</v>
      </c>
      <c r="N567" s="60"/>
    </row>
    <row r="568" spans="1:14" hidden="1" x14ac:dyDescent="0.3">
      <c r="A568" s="52">
        <f t="shared" si="8"/>
        <v>564</v>
      </c>
      <c r="B568" s="74"/>
      <c r="C568" s="75"/>
      <c r="D568" s="74"/>
      <c r="E568" s="60"/>
      <c r="F568" s="76"/>
      <c r="G568" s="60"/>
      <c r="H568" s="60"/>
      <c r="I568" s="60"/>
      <c r="J568" s="60">
        <f>Table510[[#This Row],[العدد]]*Table510[[#This Row],[الفئة]]</f>
        <v>0</v>
      </c>
      <c r="K56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8" s="60"/>
      <c r="M568" s="60">
        <f>Table510[[#This Row],[اجمالي المبلغ]]-Table510[[#This Row],[المبلغ المدفوع]]</f>
        <v>0</v>
      </c>
      <c r="N568" s="60"/>
    </row>
    <row r="569" spans="1:14" hidden="1" x14ac:dyDescent="0.3">
      <c r="A569" s="52">
        <f t="shared" si="8"/>
        <v>565</v>
      </c>
      <c r="B569" s="74"/>
      <c r="C569" s="75"/>
      <c r="D569" s="74"/>
      <c r="E569" s="60"/>
      <c r="F569" s="76"/>
      <c r="G569" s="60"/>
      <c r="H569" s="60"/>
      <c r="I569" s="60"/>
      <c r="J569" s="60">
        <f>Table510[[#This Row],[العدد]]*Table510[[#This Row],[الفئة]]</f>
        <v>0</v>
      </c>
      <c r="K56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69" s="60"/>
      <c r="M569" s="60">
        <f>Table510[[#This Row],[اجمالي المبلغ]]-Table510[[#This Row],[المبلغ المدفوع]]</f>
        <v>0</v>
      </c>
      <c r="N569" s="60"/>
    </row>
    <row r="570" spans="1:14" hidden="1" x14ac:dyDescent="0.3">
      <c r="A570" s="52">
        <f t="shared" si="8"/>
        <v>566</v>
      </c>
      <c r="B570" s="74"/>
      <c r="C570" s="75"/>
      <c r="D570" s="74"/>
      <c r="E570" s="60"/>
      <c r="F570" s="76"/>
      <c r="G570" s="60"/>
      <c r="H570" s="60"/>
      <c r="I570" s="60"/>
      <c r="J570" s="60">
        <f>Table510[[#This Row],[العدد]]*Table510[[#This Row],[الفئة]]</f>
        <v>0</v>
      </c>
      <c r="K57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0" s="60"/>
      <c r="M570" s="60">
        <f>Table510[[#This Row],[اجمالي المبلغ]]-Table510[[#This Row],[المبلغ المدفوع]]</f>
        <v>0</v>
      </c>
      <c r="N570" s="60"/>
    </row>
    <row r="571" spans="1:14" hidden="1" x14ac:dyDescent="0.3">
      <c r="A571" s="52">
        <f t="shared" si="8"/>
        <v>567</v>
      </c>
      <c r="B571" s="74"/>
      <c r="C571" s="75"/>
      <c r="D571" s="74"/>
      <c r="E571" s="60"/>
      <c r="F571" s="76"/>
      <c r="G571" s="60"/>
      <c r="H571" s="60"/>
      <c r="I571" s="60"/>
      <c r="J571" s="60">
        <f>Table510[[#This Row],[العدد]]*Table510[[#This Row],[الفئة]]</f>
        <v>0</v>
      </c>
      <c r="K57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1" s="60"/>
      <c r="M571" s="60">
        <f>Table510[[#This Row],[اجمالي المبلغ]]-Table510[[#This Row],[المبلغ المدفوع]]</f>
        <v>0</v>
      </c>
      <c r="N571" s="60"/>
    </row>
    <row r="572" spans="1:14" hidden="1" x14ac:dyDescent="0.3">
      <c r="A572" s="52">
        <f t="shared" si="8"/>
        <v>568</v>
      </c>
      <c r="B572" s="74"/>
      <c r="C572" s="75"/>
      <c r="D572" s="74"/>
      <c r="E572" s="60"/>
      <c r="F572" s="76"/>
      <c r="G572" s="60"/>
      <c r="H572" s="60"/>
      <c r="I572" s="60"/>
      <c r="J572" s="60">
        <f>Table510[[#This Row],[العدد]]*Table510[[#This Row],[الفئة]]</f>
        <v>0</v>
      </c>
      <c r="K57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2" s="60"/>
      <c r="M572" s="60">
        <f>Table510[[#This Row],[اجمالي المبلغ]]-Table510[[#This Row],[المبلغ المدفوع]]</f>
        <v>0</v>
      </c>
      <c r="N572" s="60"/>
    </row>
    <row r="573" spans="1:14" hidden="1" x14ac:dyDescent="0.3">
      <c r="A573" s="52">
        <f t="shared" si="8"/>
        <v>569</v>
      </c>
      <c r="B573" s="74"/>
      <c r="C573" s="75"/>
      <c r="D573" s="74"/>
      <c r="E573" s="60"/>
      <c r="F573" s="76"/>
      <c r="G573" s="60"/>
      <c r="H573" s="60"/>
      <c r="I573" s="60"/>
      <c r="J573" s="60">
        <f>Table510[[#This Row],[العدد]]*Table510[[#This Row],[الفئة]]</f>
        <v>0</v>
      </c>
      <c r="K57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3" s="60"/>
      <c r="M573" s="60">
        <f>Table510[[#This Row],[اجمالي المبلغ]]-Table510[[#This Row],[المبلغ المدفوع]]</f>
        <v>0</v>
      </c>
      <c r="N573" s="60"/>
    </row>
    <row r="574" spans="1:14" hidden="1" x14ac:dyDescent="0.3">
      <c r="A574" s="52">
        <f t="shared" si="8"/>
        <v>570</v>
      </c>
      <c r="B574" s="74"/>
      <c r="C574" s="75"/>
      <c r="D574" s="74"/>
      <c r="E574" s="60"/>
      <c r="F574" s="76"/>
      <c r="G574" s="60"/>
      <c r="H574" s="60"/>
      <c r="I574" s="60"/>
      <c r="J574" s="60">
        <f>Table510[[#This Row],[العدد]]*Table510[[#This Row],[الفئة]]</f>
        <v>0</v>
      </c>
      <c r="K57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4" s="60"/>
      <c r="M574" s="60">
        <f>Table510[[#This Row],[اجمالي المبلغ]]-Table510[[#This Row],[المبلغ المدفوع]]</f>
        <v>0</v>
      </c>
      <c r="N574" s="60"/>
    </row>
    <row r="575" spans="1:14" hidden="1" x14ac:dyDescent="0.3">
      <c r="A575" s="52">
        <f t="shared" si="8"/>
        <v>571</v>
      </c>
      <c r="B575" s="74"/>
      <c r="C575" s="75"/>
      <c r="D575" s="74"/>
      <c r="E575" s="60"/>
      <c r="F575" s="76"/>
      <c r="G575" s="60"/>
      <c r="H575" s="60"/>
      <c r="I575" s="60"/>
      <c r="J575" s="60">
        <f>Table510[[#This Row],[العدد]]*Table510[[#This Row],[الفئة]]</f>
        <v>0</v>
      </c>
      <c r="K57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5" s="60"/>
      <c r="M575" s="60">
        <f>Table510[[#This Row],[اجمالي المبلغ]]-Table510[[#This Row],[المبلغ المدفوع]]</f>
        <v>0</v>
      </c>
      <c r="N575" s="60"/>
    </row>
    <row r="576" spans="1:14" hidden="1" x14ac:dyDescent="0.3">
      <c r="A576" s="52">
        <f t="shared" si="8"/>
        <v>572</v>
      </c>
      <c r="B576" s="74"/>
      <c r="C576" s="75"/>
      <c r="D576" s="74"/>
      <c r="E576" s="60"/>
      <c r="F576" s="76"/>
      <c r="G576" s="60"/>
      <c r="H576" s="60"/>
      <c r="I576" s="60"/>
      <c r="J576" s="60">
        <f>Table510[[#This Row],[العدد]]*Table510[[#This Row],[الفئة]]</f>
        <v>0</v>
      </c>
      <c r="K57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6" s="60"/>
      <c r="M576" s="60">
        <f>Table510[[#This Row],[اجمالي المبلغ]]-Table510[[#This Row],[المبلغ المدفوع]]</f>
        <v>0</v>
      </c>
      <c r="N576" s="60"/>
    </row>
    <row r="577" spans="1:14" hidden="1" x14ac:dyDescent="0.3">
      <c r="A577" s="52">
        <f t="shared" si="8"/>
        <v>573</v>
      </c>
      <c r="B577" s="74"/>
      <c r="C577" s="75"/>
      <c r="D577" s="74"/>
      <c r="E577" s="60"/>
      <c r="F577" s="76"/>
      <c r="G577" s="60"/>
      <c r="H577" s="60"/>
      <c r="I577" s="60"/>
      <c r="J577" s="60">
        <f>Table510[[#This Row],[العدد]]*Table510[[#This Row],[الفئة]]</f>
        <v>0</v>
      </c>
      <c r="K57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7" s="60"/>
      <c r="M577" s="60">
        <f>Table510[[#This Row],[اجمالي المبلغ]]-Table510[[#This Row],[المبلغ المدفوع]]</f>
        <v>0</v>
      </c>
      <c r="N577" s="60"/>
    </row>
    <row r="578" spans="1:14" hidden="1" x14ac:dyDescent="0.3">
      <c r="A578" s="52">
        <f t="shared" si="8"/>
        <v>574</v>
      </c>
      <c r="B578" s="74"/>
      <c r="C578" s="75"/>
      <c r="D578" s="74"/>
      <c r="E578" s="60"/>
      <c r="F578" s="76"/>
      <c r="G578" s="60"/>
      <c r="H578" s="60"/>
      <c r="I578" s="60"/>
      <c r="J578" s="60">
        <f>Table510[[#This Row],[العدد]]*Table510[[#This Row],[الفئة]]</f>
        <v>0</v>
      </c>
      <c r="K57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8" s="60"/>
      <c r="M578" s="60">
        <f>Table510[[#This Row],[اجمالي المبلغ]]-Table510[[#This Row],[المبلغ المدفوع]]</f>
        <v>0</v>
      </c>
      <c r="N578" s="60"/>
    </row>
    <row r="579" spans="1:14" hidden="1" x14ac:dyDescent="0.3">
      <c r="A579" s="52">
        <f t="shared" si="8"/>
        <v>575</v>
      </c>
      <c r="B579" s="74"/>
      <c r="C579" s="75"/>
      <c r="D579" s="74"/>
      <c r="E579" s="60"/>
      <c r="F579" s="76"/>
      <c r="G579" s="60"/>
      <c r="H579" s="60"/>
      <c r="I579" s="60"/>
      <c r="J579" s="60">
        <f>Table510[[#This Row],[العدد]]*Table510[[#This Row],[الفئة]]</f>
        <v>0</v>
      </c>
      <c r="K57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79" s="60"/>
      <c r="M579" s="60">
        <f>Table510[[#This Row],[اجمالي المبلغ]]-Table510[[#This Row],[المبلغ المدفوع]]</f>
        <v>0</v>
      </c>
      <c r="N579" s="60"/>
    </row>
    <row r="580" spans="1:14" hidden="1" x14ac:dyDescent="0.3">
      <c r="A580" s="52">
        <f t="shared" si="8"/>
        <v>576</v>
      </c>
      <c r="B580" s="74"/>
      <c r="C580" s="75"/>
      <c r="D580" s="74"/>
      <c r="E580" s="60"/>
      <c r="F580" s="76"/>
      <c r="G580" s="60"/>
      <c r="H580" s="60"/>
      <c r="I580" s="60"/>
      <c r="J580" s="60">
        <f>Table510[[#This Row],[العدد]]*Table510[[#This Row],[الفئة]]</f>
        <v>0</v>
      </c>
      <c r="K58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0" s="60"/>
      <c r="M580" s="60">
        <f>Table510[[#This Row],[اجمالي المبلغ]]-Table510[[#This Row],[المبلغ المدفوع]]</f>
        <v>0</v>
      </c>
      <c r="N580" s="60"/>
    </row>
    <row r="581" spans="1:14" hidden="1" x14ac:dyDescent="0.3">
      <c r="A581" s="52">
        <f t="shared" si="8"/>
        <v>577</v>
      </c>
      <c r="B581" s="74"/>
      <c r="C581" s="75"/>
      <c r="D581" s="74"/>
      <c r="E581" s="60"/>
      <c r="F581" s="76"/>
      <c r="G581" s="60"/>
      <c r="H581" s="60"/>
      <c r="I581" s="60"/>
      <c r="J581" s="60">
        <f>Table510[[#This Row],[العدد]]*Table510[[#This Row],[الفئة]]</f>
        <v>0</v>
      </c>
      <c r="K58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1" s="60"/>
      <c r="M581" s="60">
        <f>Table510[[#This Row],[اجمالي المبلغ]]-Table510[[#This Row],[المبلغ المدفوع]]</f>
        <v>0</v>
      </c>
      <c r="N581" s="60"/>
    </row>
    <row r="582" spans="1:14" hidden="1" x14ac:dyDescent="0.3">
      <c r="A582" s="52">
        <f t="shared" ref="A582:A626" si="9">A581+1</f>
        <v>578</v>
      </c>
      <c r="B582" s="74"/>
      <c r="C582" s="75"/>
      <c r="D582" s="74"/>
      <c r="E582" s="60"/>
      <c r="F582" s="76"/>
      <c r="G582" s="60"/>
      <c r="H582" s="60"/>
      <c r="I582" s="60"/>
      <c r="J582" s="60">
        <f>Table510[[#This Row],[العدد]]*Table510[[#This Row],[الفئة]]</f>
        <v>0</v>
      </c>
      <c r="K58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2" s="60"/>
      <c r="M582" s="60">
        <f>Table510[[#This Row],[اجمالي المبلغ]]-Table510[[#This Row],[المبلغ المدفوع]]</f>
        <v>0</v>
      </c>
      <c r="N582" s="60"/>
    </row>
    <row r="583" spans="1:14" hidden="1" x14ac:dyDescent="0.3">
      <c r="A583" s="52">
        <f t="shared" si="9"/>
        <v>579</v>
      </c>
      <c r="B583" s="74"/>
      <c r="C583" s="75"/>
      <c r="D583" s="74"/>
      <c r="E583" s="60"/>
      <c r="F583" s="76"/>
      <c r="G583" s="60"/>
      <c r="H583" s="60"/>
      <c r="I583" s="60"/>
      <c r="J583" s="60">
        <f>Table510[[#This Row],[العدد]]*Table510[[#This Row],[الفئة]]</f>
        <v>0</v>
      </c>
      <c r="K58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3" s="60"/>
      <c r="M583" s="60">
        <f>Table510[[#This Row],[اجمالي المبلغ]]-Table510[[#This Row],[المبلغ المدفوع]]</f>
        <v>0</v>
      </c>
      <c r="N583" s="60"/>
    </row>
    <row r="584" spans="1:14" hidden="1" x14ac:dyDescent="0.3">
      <c r="A584" s="52">
        <f t="shared" si="9"/>
        <v>580</v>
      </c>
      <c r="B584" s="74"/>
      <c r="C584" s="75"/>
      <c r="D584" s="74"/>
      <c r="E584" s="60"/>
      <c r="F584" s="76"/>
      <c r="G584" s="60"/>
      <c r="H584" s="60"/>
      <c r="I584" s="60"/>
      <c r="J584" s="60">
        <f>Table510[[#This Row],[العدد]]*Table510[[#This Row],[الفئة]]</f>
        <v>0</v>
      </c>
      <c r="K58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4" s="60"/>
      <c r="M584" s="60">
        <f>Table510[[#This Row],[اجمالي المبلغ]]-Table510[[#This Row],[المبلغ المدفوع]]</f>
        <v>0</v>
      </c>
      <c r="N584" s="60"/>
    </row>
    <row r="585" spans="1:14" hidden="1" x14ac:dyDescent="0.3">
      <c r="A585" s="52">
        <f t="shared" si="9"/>
        <v>581</v>
      </c>
      <c r="B585" s="74"/>
      <c r="C585" s="75"/>
      <c r="D585" s="74"/>
      <c r="E585" s="60"/>
      <c r="F585" s="76"/>
      <c r="G585" s="60"/>
      <c r="H585" s="60"/>
      <c r="I585" s="60"/>
      <c r="J585" s="60">
        <f>Table510[[#This Row],[العدد]]*Table510[[#This Row],[الفئة]]</f>
        <v>0</v>
      </c>
      <c r="K58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5" s="60"/>
      <c r="M585" s="60">
        <f>Table510[[#This Row],[اجمالي المبلغ]]-Table510[[#This Row],[المبلغ المدفوع]]</f>
        <v>0</v>
      </c>
      <c r="N585" s="60"/>
    </row>
    <row r="586" spans="1:14" hidden="1" x14ac:dyDescent="0.3">
      <c r="A586" s="52">
        <f t="shared" si="9"/>
        <v>582</v>
      </c>
      <c r="B586" s="74"/>
      <c r="C586" s="75"/>
      <c r="D586" s="74"/>
      <c r="E586" s="60"/>
      <c r="F586" s="76"/>
      <c r="G586" s="60"/>
      <c r="H586" s="60"/>
      <c r="I586" s="60"/>
      <c r="J586" s="60">
        <f>Table510[[#This Row],[العدد]]*Table510[[#This Row],[الفئة]]</f>
        <v>0</v>
      </c>
      <c r="K58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6" s="60"/>
      <c r="M586" s="60">
        <f>Table510[[#This Row],[اجمالي المبلغ]]-Table510[[#This Row],[المبلغ المدفوع]]</f>
        <v>0</v>
      </c>
      <c r="N586" s="60"/>
    </row>
    <row r="587" spans="1:14" hidden="1" x14ac:dyDescent="0.3">
      <c r="A587" s="52">
        <f t="shared" si="9"/>
        <v>583</v>
      </c>
      <c r="B587" s="74"/>
      <c r="C587" s="75"/>
      <c r="D587" s="74"/>
      <c r="E587" s="60"/>
      <c r="F587" s="76"/>
      <c r="G587" s="60"/>
      <c r="H587" s="60"/>
      <c r="I587" s="60"/>
      <c r="J587" s="60">
        <f>Table510[[#This Row],[العدد]]*Table510[[#This Row],[الفئة]]</f>
        <v>0</v>
      </c>
      <c r="K58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7" s="60"/>
      <c r="M587" s="60">
        <f>Table510[[#This Row],[اجمالي المبلغ]]-Table510[[#This Row],[المبلغ المدفوع]]</f>
        <v>0</v>
      </c>
      <c r="N587" s="60"/>
    </row>
    <row r="588" spans="1:14" hidden="1" x14ac:dyDescent="0.3">
      <c r="A588" s="52">
        <f t="shared" si="9"/>
        <v>584</v>
      </c>
      <c r="B588" s="74"/>
      <c r="C588" s="75"/>
      <c r="D588" s="74"/>
      <c r="E588" s="60"/>
      <c r="F588" s="76"/>
      <c r="G588" s="60"/>
      <c r="H588" s="60"/>
      <c r="I588" s="60"/>
      <c r="J588" s="60">
        <f>Table510[[#This Row],[العدد]]*Table510[[#This Row],[الفئة]]</f>
        <v>0</v>
      </c>
      <c r="K58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8" s="60"/>
      <c r="M588" s="60">
        <f>Table510[[#This Row],[اجمالي المبلغ]]-Table510[[#This Row],[المبلغ المدفوع]]</f>
        <v>0</v>
      </c>
      <c r="N588" s="60"/>
    </row>
    <row r="589" spans="1:14" hidden="1" x14ac:dyDescent="0.3">
      <c r="A589" s="52">
        <f t="shared" si="9"/>
        <v>585</v>
      </c>
      <c r="B589" s="74"/>
      <c r="C589" s="75"/>
      <c r="D589" s="74"/>
      <c r="E589" s="60"/>
      <c r="F589" s="76"/>
      <c r="G589" s="60"/>
      <c r="H589" s="60"/>
      <c r="I589" s="60"/>
      <c r="J589" s="60">
        <f>Table510[[#This Row],[العدد]]*Table510[[#This Row],[الفئة]]</f>
        <v>0</v>
      </c>
      <c r="K58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89" s="60"/>
      <c r="M589" s="60">
        <f>Table510[[#This Row],[اجمالي المبلغ]]-Table510[[#This Row],[المبلغ المدفوع]]</f>
        <v>0</v>
      </c>
      <c r="N589" s="60"/>
    </row>
    <row r="590" spans="1:14" hidden="1" x14ac:dyDescent="0.3">
      <c r="A590" s="52">
        <f t="shared" si="9"/>
        <v>586</v>
      </c>
      <c r="B590" s="74"/>
      <c r="C590" s="75"/>
      <c r="D590" s="74"/>
      <c r="E590" s="60"/>
      <c r="F590" s="76"/>
      <c r="G590" s="60"/>
      <c r="H590" s="60"/>
      <c r="I590" s="60"/>
      <c r="J590" s="60">
        <f>Table510[[#This Row],[العدد]]*Table510[[#This Row],[الفئة]]</f>
        <v>0</v>
      </c>
      <c r="K59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0" s="60"/>
      <c r="M590" s="60">
        <f>Table510[[#This Row],[اجمالي المبلغ]]-Table510[[#This Row],[المبلغ المدفوع]]</f>
        <v>0</v>
      </c>
      <c r="N590" s="60"/>
    </row>
    <row r="591" spans="1:14" hidden="1" x14ac:dyDescent="0.3">
      <c r="A591" s="52">
        <f t="shared" si="9"/>
        <v>587</v>
      </c>
      <c r="B591" s="74"/>
      <c r="C591" s="75"/>
      <c r="D591" s="74"/>
      <c r="E591" s="60"/>
      <c r="F591" s="76"/>
      <c r="G591" s="60"/>
      <c r="H591" s="60"/>
      <c r="I591" s="60"/>
      <c r="J591" s="60">
        <f>Table510[[#This Row],[العدد]]*Table510[[#This Row],[الفئة]]</f>
        <v>0</v>
      </c>
      <c r="K59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1" s="60"/>
      <c r="M591" s="60">
        <f>Table510[[#This Row],[اجمالي المبلغ]]-Table510[[#This Row],[المبلغ المدفوع]]</f>
        <v>0</v>
      </c>
      <c r="N591" s="60"/>
    </row>
    <row r="592" spans="1:14" hidden="1" x14ac:dyDescent="0.3">
      <c r="A592" s="52">
        <f t="shared" si="9"/>
        <v>588</v>
      </c>
      <c r="B592" s="74"/>
      <c r="C592" s="75"/>
      <c r="D592" s="74"/>
      <c r="E592" s="60"/>
      <c r="F592" s="76"/>
      <c r="G592" s="60"/>
      <c r="H592" s="60"/>
      <c r="I592" s="60"/>
      <c r="J592" s="60">
        <f>Table510[[#This Row],[العدد]]*Table510[[#This Row],[الفئة]]</f>
        <v>0</v>
      </c>
      <c r="K59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2" s="60"/>
      <c r="M592" s="60">
        <f>Table510[[#This Row],[اجمالي المبلغ]]-Table510[[#This Row],[المبلغ المدفوع]]</f>
        <v>0</v>
      </c>
      <c r="N592" s="60"/>
    </row>
    <row r="593" spans="1:14" hidden="1" x14ac:dyDescent="0.3">
      <c r="A593" s="52">
        <f t="shared" si="9"/>
        <v>589</v>
      </c>
      <c r="B593" s="74"/>
      <c r="C593" s="75"/>
      <c r="D593" s="74"/>
      <c r="E593" s="60"/>
      <c r="F593" s="76"/>
      <c r="G593" s="60"/>
      <c r="H593" s="60"/>
      <c r="I593" s="60"/>
      <c r="J593" s="60">
        <f>Table510[[#This Row],[العدد]]*Table510[[#This Row],[الفئة]]</f>
        <v>0</v>
      </c>
      <c r="K59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3" s="60"/>
      <c r="M593" s="60">
        <f>Table510[[#This Row],[اجمالي المبلغ]]-Table510[[#This Row],[المبلغ المدفوع]]</f>
        <v>0</v>
      </c>
      <c r="N593" s="60"/>
    </row>
    <row r="594" spans="1:14" hidden="1" x14ac:dyDescent="0.3">
      <c r="A594" s="52">
        <f t="shared" si="9"/>
        <v>590</v>
      </c>
      <c r="B594" s="74"/>
      <c r="C594" s="75"/>
      <c r="D594" s="74"/>
      <c r="E594" s="60"/>
      <c r="F594" s="76"/>
      <c r="G594" s="60"/>
      <c r="H594" s="60"/>
      <c r="I594" s="60"/>
      <c r="J594" s="60">
        <f>Table510[[#This Row],[العدد]]*Table510[[#This Row],[الفئة]]</f>
        <v>0</v>
      </c>
      <c r="K59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4" s="60"/>
      <c r="M594" s="60">
        <f>Table510[[#This Row],[اجمالي المبلغ]]-Table510[[#This Row],[المبلغ المدفوع]]</f>
        <v>0</v>
      </c>
      <c r="N594" s="60"/>
    </row>
    <row r="595" spans="1:14" hidden="1" x14ac:dyDescent="0.3">
      <c r="A595" s="52">
        <f t="shared" si="9"/>
        <v>591</v>
      </c>
      <c r="B595" s="74"/>
      <c r="C595" s="75"/>
      <c r="D595" s="74"/>
      <c r="E595" s="60"/>
      <c r="F595" s="76"/>
      <c r="G595" s="60"/>
      <c r="H595" s="60"/>
      <c r="I595" s="60"/>
      <c r="J595" s="60">
        <f>Table510[[#This Row],[العدد]]*Table510[[#This Row],[الفئة]]</f>
        <v>0</v>
      </c>
      <c r="K59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5" s="60"/>
      <c r="M595" s="60">
        <f>Table510[[#This Row],[اجمالي المبلغ]]-Table510[[#This Row],[المبلغ المدفوع]]</f>
        <v>0</v>
      </c>
      <c r="N595" s="60"/>
    </row>
    <row r="596" spans="1:14" hidden="1" x14ac:dyDescent="0.3">
      <c r="A596" s="52">
        <f t="shared" si="9"/>
        <v>592</v>
      </c>
      <c r="B596" s="74"/>
      <c r="C596" s="75"/>
      <c r="D596" s="74"/>
      <c r="E596" s="60"/>
      <c r="F596" s="76"/>
      <c r="G596" s="60"/>
      <c r="H596" s="60"/>
      <c r="I596" s="60"/>
      <c r="J596" s="60">
        <f>Table510[[#This Row],[العدد]]*Table510[[#This Row],[الفئة]]</f>
        <v>0</v>
      </c>
      <c r="K59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6" s="60"/>
      <c r="M596" s="60">
        <f>Table510[[#This Row],[اجمالي المبلغ]]-Table510[[#This Row],[المبلغ المدفوع]]</f>
        <v>0</v>
      </c>
      <c r="N596" s="60"/>
    </row>
    <row r="597" spans="1:14" hidden="1" x14ac:dyDescent="0.3">
      <c r="A597" s="52">
        <f t="shared" si="9"/>
        <v>593</v>
      </c>
      <c r="B597" s="74"/>
      <c r="C597" s="75"/>
      <c r="D597" s="74"/>
      <c r="E597" s="60"/>
      <c r="F597" s="76"/>
      <c r="G597" s="60"/>
      <c r="H597" s="60"/>
      <c r="I597" s="60"/>
      <c r="J597" s="60">
        <f>Table510[[#This Row],[العدد]]*Table510[[#This Row],[الفئة]]</f>
        <v>0</v>
      </c>
      <c r="K59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7" s="60"/>
      <c r="M597" s="60">
        <f>Table510[[#This Row],[اجمالي المبلغ]]-Table510[[#This Row],[المبلغ المدفوع]]</f>
        <v>0</v>
      </c>
      <c r="N597" s="60"/>
    </row>
    <row r="598" spans="1:14" hidden="1" x14ac:dyDescent="0.3">
      <c r="A598" s="52">
        <f t="shared" si="9"/>
        <v>594</v>
      </c>
      <c r="B598" s="74"/>
      <c r="C598" s="75"/>
      <c r="D598" s="74"/>
      <c r="E598" s="60"/>
      <c r="F598" s="76"/>
      <c r="G598" s="60"/>
      <c r="H598" s="60"/>
      <c r="I598" s="60"/>
      <c r="J598" s="60">
        <f>Table510[[#This Row],[العدد]]*Table510[[#This Row],[الفئة]]</f>
        <v>0</v>
      </c>
      <c r="K59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8" s="60"/>
      <c r="M598" s="60">
        <f>Table510[[#This Row],[اجمالي المبلغ]]-Table510[[#This Row],[المبلغ المدفوع]]</f>
        <v>0</v>
      </c>
      <c r="N598" s="60"/>
    </row>
    <row r="599" spans="1:14" hidden="1" x14ac:dyDescent="0.3">
      <c r="A599" s="52">
        <f t="shared" si="9"/>
        <v>595</v>
      </c>
      <c r="B599" s="74"/>
      <c r="C599" s="75"/>
      <c r="D599" s="74"/>
      <c r="E599" s="60"/>
      <c r="F599" s="76"/>
      <c r="G599" s="60"/>
      <c r="H599" s="60"/>
      <c r="I599" s="60"/>
      <c r="J599" s="60">
        <f>Table510[[#This Row],[العدد]]*Table510[[#This Row],[الفئة]]</f>
        <v>0</v>
      </c>
      <c r="K59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599" s="60"/>
      <c r="M599" s="60">
        <f>Table510[[#This Row],[اجمالي المبلغ]]-Table510[[#This Row],[المبلغ المدفوع]]</f>
        <v>0</v>
      </c>
      <c r="N599" s="60"/>
    </row>
    <row r="600" spans="1:14" hidden="1" x14ac:dyDescent="0.3">
      <c r="A600" s="52">
        <f t="shared" si="9"/>
        <v>596</v>
      </c>
      <c r="B600" s="74"/>
      <c r="C600" s="75"/>
      <c r="D600" s="74"/>
      <c r="E600" s="60"/>
      <c r="F600" s="76"/>
      <c r="G600" s="60"/>
      <c r="H600" s="60"/>
      <c r="I600" s="60"/>
      <c r="J600" s="60">
        <f>Table510[[#This Row],[العدد]]*Table510[[#This Row],[الفئة]]</f>
        <v>0</v>
      </c>
      <c r="K60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0" s="60"/>
      <c r="M600" s="60">
        <f>Table510[[#This Row],[اجمالي المبلغ]]-Table510[[#This Row],[المبلغ المدفوع]]</f>
        <v>0</v>
      </c>
      <c r="N600" s="60"/>
    </row>
    <row r="601" spans="1:14" hidden="1" x14ac:dyDescent="0.3">
      <c r="A601" s="52">
        <f t="shared" si="9"/>
        <v>597</v>
      </c>
      <c r="B601" s="74"/>
      <c r="C601" s="75"/>
      <c r="D601" s="74"/>
      <c r="E601" s="60"/>
      <c r="F601" s="76"/>
      <c r="G601" s="60"/>
      <c r="H601" s="60"/>
      <c r="I601" s="60"/>
      <c r="J601" s="60">
        <f>Table510[[#This Row],[العدد]]*Table510[[#This Row],[الفئة]]</f>
        <v>0</v>
      </c>
      <c r="K60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1" s="60"/>
      <c r="M601" s="60">
        <f>Table510[[#This Row],[اجمالي المبلغ]]-Table510[[#This Row],[المبلغ المدفوع]]</f>
        <v>0</v>
      </c>
      <c r="N601" s="60"/>
    </row>
    <row r="602" spans="1:14" hidden="1" x14ac:dyDescent="0.3">
      <c r="A602" s="52">
        <f t="shared" si="9"/>
        <v>598</v>
      </c>
      <c r="B602" s="74"/>
      <c r="C602" s="75"/>
      <c r="D602" s="74"/>
      <c r="E602" s="60"/>
      <c r="F602" s="76"/>
      <c r="G602" s="60"/>
      <c r="H602" s="60"/>
      <c r="I602" s="60"/>
      <c r="J602" s="60">
        <f>Table510[[#This Row],[العدد]]*Table510[[#This Row],[الفئة]]</f>
        <v>0</v>
      </c>
      <c r="K60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2" s="60"/>
      <c r="M602" s="60">
        <f>Table510[[#This Row],[اجمالي المبلغ]]-Table510[[#This Row],[المبلغ المدفوع]]</f>
        <v>0</v>
      </c>
      <c r="N602" s="60"/>
    </row>
    <row r="603" spans="1:14" hidden="1" x14ac:dyDescent="0.3">
      <c r="A603" s="52">
        <f t="shared" si="9"/>
        <v>599</v>
      </c>
      <c r="B603" s="74"/>
      <c r="C603" s="75"/>
      <c r="D603" s="74"/>
      <c r="E603" s="60"/>
      <c r="F603" s="76"/>
      <c r="G603" s="60"/>
      <c r="H603" s="60"/>
      <c r="I603" s="60"/>
      <c r="J603" s="60">
        <f>Table510[[#This Row],[العدد]]*Table510[[#This Row],[الفئة]]</f>
        <v>0</v>
      </c>
      <c r="K60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3" s="60"/>
      <c r="M603" s="60">
        <f>Table510[[#This Row],[اجمالي المبلغ]]-Table510[[#This Row],[المبلغ المدفوع]]</f>
        <v>0</v>
      </c>
      <c r="N603" s="60"/>
    </row>
    <row r="604" spans="1:14" hidden="1" x14ac:dyDescent="0.3">
      <c r="A604" s="52">
        <f t="shared" si="9"/>
        <v>600</v>
      </c>
      <c r="B604" s="74"/>
      <c r="C604" s="75"/>
      <c r="D604" s="74"/>
      <c r="E604" s="60"/>
      <c r="F604" s="76"/>
      <c r="G604" s="60"/>
      <c r="H604" s="60"/>
      <c r="I604" s="60"/>
      <c r="J604" s="60">
        <f>Table510[[#This Row],[العدد]]*Table510[[#This Row],[الفئة]]</f>
        <v>0</v>
      </c>
      <c r="K60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4" s="60"/>
      <c r="M604" s="60">
        <f>Table510[[#This Row],[اجمالي المبلغ]]-Table510[[#This Row],[المبلغ المدفوع]]</f>
        <v>0</v>
      </c>
      <c r="N604" s="60"/>
    </row>
    <row r="605" spans="1:14" hidden="1" x14ac:dyDescent="0.3">
      <c r="A605" s="52">
        <f t="shared" si="9"/>
        <v>601</v>
      </c>
      <c r="B605" s="74"/>
      <c r="C605" s="75"/>
      <c r="D605" s="74"/>
      <c r="E605" s="60"/>
      <c r="F605" s="76"/>
      <c r="G605" s="60"/>
      <c r="H605" s="60"/>
      <c r="I605" s="60"/>
      <c r="J605" s="60">
        <f>Table510[[#This Row],[العدد]]*Table510[[#This Row],[الفئة]]</f>
        <v>0</v>
      </c>
      <c r="K60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5" s="60"/>
      <c r="M605" s="60">
        <f>Table510[[#This Row],[اجمالي المبلغ]]-Table510[[#This Row],[المبلغ المدفوع]]</f>
        <v>0</v>
      </c>
      <c r="N605" s="60"/>
    </row>
    <row r="606" spans="1:14" hidden="1" x14ac:dyDescent="0.3">
      <c r="A606" s="52">
        <f t="shared" si="9"/>
        <v>602</v>
      </c>
      <c r="B606" s="74"/>
      <c r="C606" s="75"/>
      <c r="D606" s="74"/>
      <c r="E606" s="60"/>
      <c r="F606" s="76"/>
      <c r="G606" s="60"/>
      <c r="H606" s="60"/>
      <c r="I606" s="60"/>
      <c r="J606" s="60">
        <f>Table510[[#This Row],[العدد]]*Table510[[#This Row],[الفئة]]</f>
        <v>0</v>
      </c>
      <c r="K60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6" s="60"/>
      <c r="M606" s="60">
        <f>Table510[[#This Row],[اجمالي المبلغ]]-Table510[[#This Row],[المبلغ المدفوع]]</f>
        <v>0</v>
      </c>
      <c r="N606" s="60"/>
    </row>
    <row r="607" spans="1:14" hidden="1" x14ac:dyDescent="0.3">
      <c r="A607" s="52">
        <f t="shared" si="9"/>
        <v>603</v>
      </c>
      <c r="B607" s="74"/>
      <c r="C607" s="75"/>
      <c r="D607" s="74"/>
      <c r="E607" s="60"/>
      <c r="F607" s="76"/>
      <c r="G607" s="60"/>
      <c r="H607" s="60"/>
      <c r="I607" s="60"/>
      <c r="J607" s="60">
        <f>Table510[[#This Row],[العدد]]*Table510[[#This Row],[الفئة]]</f>
        <v>0</v>
      </c>
      <c r="K60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7" s="60"/>
      <c r="M607" s="60">
        <f>Table510[[#This Row],[اجمالي المبلغ]]-Table510[[#This Row],[المبلغ المدفوع]]</f>
        <v>0</v>
      </c>
      <c r="N607" s="60"/>
    </row>
    <row r="608" spans="1:14" hidden="1" x14ac:dyDescent="0.3">
      <c r="A608" s="52">
        <f t="shared" si="9"/>
        <v>604</v>
      </c>
      <c r="B608" s="74"/>
      <c r="C608" s="75"/>
      <c r="D608" s="74"/>
      <c r="E608" s="60"/>
      <c r="F608" s="76"/>
      <c r="G608" s="60"/>
      <c r="H608" s="60"/>
      <c r="I608" s="60"/>
      <c r="J608" s="60">
        <f>Table510[[#This Row],[العدد]]*Table510[[#This Row],[الفئة]]</f>
        <v>0</v>
      </c>
      <c r="K60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8" s="60"/>
      <c r="M608" s="60">
        <f>Table510[[#This Row],[اجمالي المبلغ]]-Table510[[#This Row],[المبلغ المدفوع]]</f>
        <v>0</v>
      </c>
      <c r="N608" s="60"/>
    </row>
    <row r="609" spans="1:14" hidden="1" x14ac:dyDescent="0.3">
      <c r="A609" s="52">
        <f t="shared" si="9"/>
        <v>605</v>
      </c>
      <c r="B609" s="74"/>
      <c r="C609" s="75"/>
      <c r="D609" s="74"/>
      <c r="E609" s="60"/>
      <c r="F609" s="76"/>
      <c r="G609" s="60"/>
      <c r="H609" s="60"/>
      <c r="I609" s="60"/>
      <c r="J609" s="60">
        <f>Table510[[#This Row],[العدد]]*Table510[[#This Row],[الفئة]]</f>
        <v>0</v>
      </c>
      <c r="K60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09" s="60"/>
      <c r="M609" s="60">
        <f>Table510[[#This Row],[اجمالي المبلغ]]-Table510[[#This Row],[المبلغ المدفوع]]</f>
        <v>0</v>
      </c>
      <c r="N609" s="60"/>
    </row>
    <row r="610" spans="1:14" hidden="1" x14ac:dyDescent="0.3">
      <c r="A610" s="52">
        <f t="shared" si="9"/>
        <v>606</v>
      </c>
      <c r="B610" s="74"/>
      <c r="C610" s="75"/>
      <c r="D610" s="74"/>
      <c r="E610" s="60"/>
      <c r="F610" s="76"/>
      <c r="G610" s="60"/>
      <c r="H610" s="60"/>
      <c r="I610" s="60"/>
      <c r="J610" s="60">
        <f>Table510[[#This Row],[العدد]]*Table510[[#This Row],[الفئة]]</f>
        <v>0</v>
      </c>
      <c r="K61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0" s="60"/>
      <c r="M610" s="60">
        <f>Table510[[#This Row],[اجمالي المبلغ]]-Table510[[#This Row],[المبلغ المدفوع]]</f>
        <v>0</v>
      </c>
      <c r="N610" s="60"/>
    </row>
    <row r="611" spans="1:14" hidden="1" x14ac:dyDescent="0.3">
      <c r="A611" s="52">
        <f t="shared" si="9"/>
        <v>607</v>
      </c>
      <c r="B611" s="74"/>
      <c r="C611" s="75"/>
      <c r="D611" s="74"/>
      <c r="E611" s="60"/>
      <c r="F611" s="76"/>
      <c r="G611" s="60"/>
      <c r="H611" s="60"/>
      <c r="I611" s="60"/>
      <c r="J611" s="60">
        <f>Table510[[#This Row],[العدد]]*Table510[[#This Row],[الفئة]]</f>
        <v>0</v>
      </c>
      <c r="K61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1" s="60"/>
      <c r="M611" s="60">
        <f>Table510[[#This Row],[اجمالي المبلغ]]-Table510[[#This Row],[المبلغ المدفوع]]</f>
        <v>0</v>
      </c>
      <c r="N611" s="60"/>
    </row>
    <row r="612" spans="1:14" hidden="1" x14ac:dyDescent="0.3">
      <c r="A612" s="52">
        <f t="shared" si="9"/>
        <v>608</v>
      </c>
      <c r="B612" s="74"/>
      <c r="C612" s="75"/>
      <c r="D612" s="74"/>
      <c r="E612" s="60"/>
      <c r="F612" s="76"/>
      <c r="G612" s="60"/>
      <c r="H612" s="60"/>
      <c r="I612" s="60"/>
      <c r="J612" s="60">
        <f>Table510[[#This Row],[العدد]]*Table510[[#This Row],[الفئة]]</f>
        <v>0</v>
      </c>
      <c r="K61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2" s="60"/>
      <c r="M612" s="60">
        <f>Table510[[#This Row],[اجمالي المبلغ]]-Table510[[#This Row],[المبلغ المدفوع]]</f>
        <v>0</v>
      </c>
      <c r="N612" s="60"/>
    </row>
    <row r="613" spans="1:14" hidden="1" x14ac:dyDescent="0.3">
      <c r="A613" s="52">
        <f t="shared" si="9"/>
        <v>609</v>
      </c>
      <c r="B613" s="74"/>
      <c r="C613" s="75"/>
      <c r="D613" s="74"/>
      <c r="E613" s="60"/>
      <c r="F613" s="76"/>
      <c r="G613" s="60"/>
      <c r="H613" s="60"/>
      <c r="I613" s="60"/>
      <c r="J613" s="60">
        <f>Table510[[#This Row],[العدد]]*Table510[[#This Row],[الفئة]]</f>
        <v>0</v>
      </c>
      <c r="K61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3" s="60"/>
      <c r="M613" s="60">
        <f>Table510[[#This Row],[اجمالي المبلغ]]-Table510[[#This Row],[المبلغ المدفوع]]</f>
        <v>0</v>
      </c>
      <c r="N613" s="60"/>
    </row>
    <row r="614" spans="1:14" hidden="1" x14ac:dyDescent="0.3">
      <c r="A614" s="52">
        <f t="shared" si="9"/>
        <v>610</v>
      </c>
      <c r="B614" s="74"/>
      <c r="C614" s="75"/>
      <c r="D614" s="74"/>
      <c r="E614" s="60"/>
      <c r="F614" s="76"/>
      <c r="G614" s="60"/>
      <c r="H614" s="60"/>
      <c r="I614" s="60"/>
      <c r="J614" s="60">
        <f>Table510[[#This Row],[العدد]]*Table510[[#This Row],[الفئة]]</f>
        <v>0</v>
      </c>
      <c r="K61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4" s="60"/>
      <c r="M614" s="60">
        <f>Table510[[#This Row],[اجمالي المبلغ]]-Table510[[#This Row],[المبلغ المدفوع]]</f>
        <v>0</v>
      </c>
      <c r="N614" s="60"/>
    </row>
    <row r="615" spans="1:14" hidden="1" x14ac:dyDescent="0.3">
      <c r="A615" s="52">
        <f t="shared" si="9"/>
        <v>611</v>
      </c>
      <c r="B615" s="74"/>
      <c r="C615" s="75"/>
      <c r="D615" s="74"/>
      <c r="E615" s="60"/>
      <c r="F615" s="76"/>
      <c r="G615" s="60"/>
      <c r="H615" s="60"/>
      <c r="I615" s="60"/>
      <c r="J615" s="60">
        <f>Table510[[#This Row],[العدد]]*Table510[[#This Row],[الفئة]]</f>
        <v>0</v>
      </c>
      <c r="K61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5" s="60"/>
      <c r="M615" s="60">
        <f>Table510[[#This Row],[اجمالي المبلغ]]-Table510[[#This Row],[المبلغ المدفوع]]</f>
        <v>0</v>
      </c>
      <c r="N615" s="60"/>
    </row>
    <row r="616" spans="1:14" hidden="1" x14ac:dyDescent="0.3">
      <c r="A616" s="52">
        <f t="shared" si="9"/>
        <v>612</v>
      </c>
      <c r="B616" s="74"/>
      <c r="C616" s="75"/>
      <c r="D616" s="74"/>
      <c r="E616" s="60"/>
      <c r="F616" s="76"/>
      <c r="G616" s="60"/>
      <c r="H616" s="60"/>
      <c r="I616" s="60"/>
      <c r="J616" s="60">
        <f>Table510[[#This Row],[العدد]]*Table510[[#This Row],[الفئة]]</f>
        <v>0</v>
      </c>
      <c r="K61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6" s="60"/>
      <c r="M616" s="60">
        <f>Table510[[#This Row],[اجمالي المبلغ]]-Table510[[#This Row],[المبلغ المدفوع]]</f>
        <v>0</v>
      </c>
      <c r="N616" s="60"/>
    </row>
    <row r="617" spans="1:14" hidden="1" x14ac:dyDescent="0.3">
      <c r="A617" s="52">
        <f t="shared" si="9"/>
        <v>613</v>
      </c>
      <c r="B617" s="74"/>
      <c r="C617" s="75"/>
      <c r="D617" s="74"/>
      <c r="E617" s="60"/>
      <c r="F617" s="76"/>
      <c r="G617" s="60"/>
      <c r="H617" s="60"/>
      <c r="I617" s="60"/>
      <c r="J617" s="60">
        <f>Table510[[#This Row],[العدد]]*Table510[[#This Row],[الفئة]]</f>
        <v>0</v>
      </c>
      <c r="K617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7" s="60"/>
      <c r="M617" s="60">
        <f>Table510[[#This Row],[اجمالي المبلغ]]-Table510[[#This Row],[المبلغ المدفوع]]</f>
        <v>0</v>
      </c>
      <c r="N617" s="60"/>
    </row>
    <row r="618" spans="1:14" hidden="1" x14ac:dyDescent="0.3">
      <c r="A618" s="52">
        <f t="shared" si="9"/>
        <v>614</v>
      </c>
      <c r="B618" s="74"/>
      <c r="C618" s="75"/>
      <c r="D618" s="74"/>
      <c r="E618" s="60"/>
      <c r="F618" s="76"/>
      <c r="G618" s="60"/>
      <c r="H618" s="60"/>
      <c r="I618" s="60"/>
      <c r="J618" s="60">
        <f>Table510[[#This Row],[العدد]]*Table510[[#This Row],[الفئة]]</f>
        <v>0</v>
      </c>
      <c r="K618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8" s="60"/>
      <c r="M618" s="60">
        <f>Table510[[#This Row],[اجمالي المبلغ]]-Table510[[#This Row],[المبلغ المدفوع]]</f>
        <v>0</v>
      </c>
      <c r="N618" s="60"/>
    </row>
    <row r="619" spans="1:14" hidden="1" x14ac:dyDescent="0.3">
      <c r="A619" s="52">
        <f t="shared" si="9"/>
        <v>615</v>
      </c>
      <c r="B619" s="74"/>
      <c r="C619" s="75"/>
      <c r="D619" s="74"/>
      <c r="E619" s="60"/>
      <c r="F619" s="76"/>
      <c r="G619" s="60"/>
      <c r="H619" s="60"/>
      <c r="I619" s="60"/>
      <c r="J619" s="60">
        <f>Table510[[#This Row],[العدد]]*Table510[[#This Row],[الفئة]]</f>
        <v>0</v>
      </c>
      <c r="K619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19" s="60"/>
      <c r="M619" s="60">
        <f>Table510[[#This Row],[اجمالي المبلغ]]-Table510[[#This Row],[المبلغ المدفوع]]</f>
        <v>0</v>
      </c>
      <c r="N619" s="60"/>
    </row>
    <row r="620" spans="1:14" hidden="1" x14ac:dyDescent="0.3">
      <c r="A620" s="52">
        <f t="shared" si="9"/>
        <v>616</v>
      </c>
      <c r="B620" s="74"/>
      <c r="C620" s="75"/>
      <c r="D620" s="74"/>
      <c r="E620" s="60"/>
      <c r="F620" s="76"/>
      <c r="G620" s="60"/>
      <c r="H620" s="60"/>
      <c r="I620" s="60"/>
      <c r="J620" s="60">
        <f>Table510[[#This Row],[العدد]]*Table510[[#This Row],[الفئة]]</f>
        <v>0</v>
      </c>
      <c r="K620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0" s="60"/>
      <c r="M620" s="60">
        <f>Table510[[#This Row],[اجمالي المبلغ]]-Table510[[#This Row],[المبلغ المدفوع]]</f>
        <v>0</v>
      </c>
      <c r="N620" s="60"/>
    </row>
    <row r="621" spans="1:14" hidden="1" x14ac:dyDescent="0.3">
      <c r="A621" s="52">
        <f t="shared" si="9"/>
        <v>617</v>
      </c>
      <c r="B621" s="74"/>
      <c r="C621" s="75"/>
      <c r="D621" s="74"/>
      <c r="E621" s="60"/>
      <c r="F621" s="76"/>
      <c r="G621" s="60"/>
      <c r="H621" s="60"/>
      <c r="I621" s="60"/>
      <c r="J621" s="60">
        <f>Table510[[#This Row],[العدد]]*Table510[[#This Row],[الفئة]]</f>
        <v>0</v>
      </c>
      <c r="K621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1" s="60"/>
      <c r="M621" s="60">
        <f>Table510[[#This Row],[اجمالي المبلغ]]-Table510[[#This Row],[المبلغ المدفوع]]</f>
        <v>0</v>
      </c>
      <c r="N621" s="60"/>
    </row>
    <row r="622" spans="1:14" hidden="1" x14ac:dyDescent="0.3">
      <c r="A622" s="52">
        <f t="shared" si="9"/>
        <v>618</v>
      </c>
      <c r="B622" s="74"/>
      <c r="C622" s="75"/>
      <c r="D622" s="74"/>
      <c r="E622" s="60"/>
      <c r="F622" s="76"/>
      <c r="G622" s="60"/>
      <c r="H622" s="60"/>
      <c r="I622" s="60"/>
      <c r="J622" s="60">
        <f>Table510[[#This Row],[العدد]]*Table510[[#This Row],[الفئة]]</f>
        <v>0</v>
      </c>
      <c r="K622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2" s="60"/>
      <c r="M622" s="60">
        <f>Table510[[#This Row],[اجمالي المبلغ]]-Table510[[#This Row],[المبلغ المدفوع]]</f>
        <v>0</v>
      </c>
      <c r="N622" s="60"/>
    </row>
    <row r="623" spans="1:14" ht="40.5" hidden="1" customHeight="1" x14ac:dyDescent="0.3">
      <c r="A623" s="52">
        <f t="shared" si="9"/>
        <v>619</v>
      </c>
      <c r="B623" s="74"/>
      <c r="C623" s="75"/>
      <c r="D623" s="74"/>
      <c r="E623" s="60"/>
      <c r="F623" s="76"/>
      <c r="G623" s="60"/>
      <c r="H623" s="60"/>
      <c r="I623" s="60"/>
      <c r="J623" s="60">
        <f>Table510[[#This Row],[العدد]]*Table510[[#This Row],[الفئة]]</f>
        <v>0</v>
      </c>
      <c r="K623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3" s="60"/>
      <c r="M623" s="60">
        <f>Table510[[#This Row],[اجمالي المبلغ]]-Table510[[#This Row],[المبلغ المدفوع]]</f>
        <v>0</v>
      </c>
      <c r="N623" s="60"/>
    </row>
    <row r="624" spans="1:14" hidden="1" x14ac:dyDescent="0.3">
      <c r="A624" s="52">
        <f t="shared" si="9"/>
        <v>620</v>
      </c>
      <c r="B624" s="74"/>
      <c r="C624" s="75"/>
      <c r="D624" s="74"/>
      <c r="E624" s="60"/>
      <c r="F624" s="76"/>
      <c r="G624" s="60"/>
      <c r="H624" s="60"/>
      <c r="I624" s="60"/>
      <c r="J624" s="60">
        <f>Table510[[#This Row],[العدد]]*Table510[[#This Row],[الفئة]]</f>
        <v>0</v>
      </c>
      <c r="K624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4" s="60"/>
      <c r="M624" s="60">
        <f>Table510[[#This Row],[اجمالي المبلغ]]-Table510[[#This Row],[المبلغ المدفوع]]</f>
        <v>0</v>
      </c>
      <c r="N624" s="60"/>
    </row>
    <row r="625" spans="1:14" hidden="1" x14ac:dyDescent="0.3">
      <c r="A625" s="52">
        <f t="shared" si="9"/>
        <v>621</v>
      </c>
      <c r="B625" s="74"/>
      <c r="C625" s="75"/>
      <c r="D625" s="74"/>
      <c r="E625" s="60"/>
      <c r="F625" s="76"/>
      <c r="G625" s="60"/>
      <c r="H625" s="60"/>
      <c r="I625" s="60"/>
      <c r="J625" s="60">
        <f>Table510[[#This Row],[العدد]]*Table510[[#This Row],[الفئة]]</f>
        <v>0</v>
      </c>
      <c r="K625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5" s="60"/>
      <c r="M625" s="60">
        <f>Table510[[#This Row],[اجمالي المبلغ]]-Table510[[#This Row],[المبلغ المدفوع]]</f>
        <v>0</v>
      </c>
      <c r="N625" s="60"/>
    </row>
    <row r="626" spans="1:14" hidden="1" x14ac:dyDescent="0.3">
      <c r="A626" s="52">
        <f t="shared" si="9"/>
        <v>622</v>
      </c>
      <c r="B626" s="74"/>
      <c r="C626" s="75"/>
      <c r="D626" s="74"/>
      <c r="E626" s="60"/>
      <c r="F626" s="76"/>
      <c r="G626" s="60"/>
      <c r="H626" s="60"/>
      <c r="I626" s="60"/>
      <c r="J626" s="60">
        <f>Table510[[#This Row],[العدد]]*Table510[[#This Row],[الفئة]]</f>
        <v>0</v>
      </c>
      <c r="K626" s="60">
        <f>IF(Table510[[#This Row],[الفئة]]=0.8,Table510[[#This Row],[السعر]]*Table510[[#This Row],[العدد]]+Table510[[#This Row],[مصاريف اخرى]]-Table510[[#This Row],[خصم]],IF(Table510[[#This Row],[الفئة]]=1.6,Table510[[#This Row],[العدد]]*2*Table510[[#This Row],[السعر]]+Table510[[#This Row],[مصاريف اخرى]]-Table510[[#This Row],[خصم]],Table510[[#This Row],[السعر]]*Table510[[#This Row],[الكمية]]+Table510[[#This Row],[مصاريف اخرى]]-Table510[[#This Row],[خصم]]))</f>
        <v>0</v>
      </c>
      <c r="L626" s="60"/>
      <c r="M626" s="60">
        <f>Table510[[#This Row],[اجمالي المبلغ]]-Table510[[#This Row],[المبلغ المدفوع]]</f>
        <v>0</v>
      </c>
      <c r="N626" s="60"/>
    </row>
    <row r="627" spans="1:14" x14ac:dyDescent="0.3">
      <c r="B627" s="98"/>
      <c r="C627" s="99" t="s">
        <v>18</v>
      </c>
      <c r="D627" s="55"/>
      <c r="E627" s="93">
        <f>SUBTOTAL(9,E18:E296)</f>
        <v>0</v>
      </c>
      <c r="F627" s="59"/>
      <c r="G627" s="57"/>
      <c r="H627" s="57"/>
      <c r="I627" s="57"/>
      <c r="J627" s="93">
        <f>SUBTOTAL(9,J18:J296)</f>
        <v>0</v>
      </c>
      <c r="K627" s="91">
        <f>SUBTOTAL(9,Table510[اجمالي المبلغ])</f>
        <v>6280</v>
      </c>
      <c r="L627" s="92">
        <f>SUBTOTAL(9,Table510[المبلغ المدفوع])</f>
        <v>0</v>
      </c>
      <c r="M627" s="92">
        <f>SUBTOTAL(9,Table510[متبقي])</f>
        <v>6280</v>
      </c>
      <c r="N627" s="57"/>
    </row>
  </sheetData>
  <pageMargins left="0.25" right="0.25" top="0.75" bottom="0.75" header="0.3" footer="0.3"/>
  <pageSetup scale="6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 tint="-0.249977111117893"/>
    <pageSetUpPr fitToPage="1"/>
  </sheetPr>
  <dimension ref="A1:N627"/>
  <sheetViews>
    <sheetView rightToLeft="1" zoomScale="90" zoomScaleNormal="90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F230" sqref="F230"/>
    </sheetView>
  </sheetViews>
  <sheetFormatPr defaultRowHeight="20.25" x14ac:dyDescent="0.3"/>
  <cols>
    <col min="1" max="1" width="5.875" style="52" bestFit="1" customWidth="1"/>
    <col min="2" max="2" width="17.625" style="52" customWidth="1"/>
    <col min="3" max="3" width="14.75" style="52" bestFit="1" customWidth="1"/>
    <col min="4" max="4" width="7.25" style="52" customWidth="1"/>
    <col min="5" max="5" width="10.5" style="52" customWidth="1"/>
    <col min="6" max="6" width="9.875" style="52" customWidth="1"/>
    <col min="7" max="7" width="6.5" style="52" customWidth="1"/>
    <col min="8" max="8" width="5.25" style="52" customWidth="1"/>
    <col min="9" max="9" width="8.25" style="52" customWidth="1"/>
    <col min="10" max="10" width="11.125" style="52" bestFit="1" customWidth="1"/>
    <col min="11" max="11" width="15.875" style="52" customWidth="1"/>
    <col min="12" max="12" width="14.25" style="52" customWidth="1"/>
    <col min="13" max="13" width="15.375" style="52" customWidth="1"/>
    <col min="14" max="14" width="44" style="52" bestFit="1" customWidth="1"/>
    <col min="15" max="16384" width="9" style="52"/>
  </cols>
  <sheetData>
    <row r="1" spans="1:14" ht="16.5" customHeight="1" x14ac:dyDescent="0.3"/>
    <row r="2" spans="1:14" ht="25.5" customHeight="1" x14ac:dyDescent="0.3">
      <c r="J2" s="53">
        <f>SUBTOTAL(9,Table5[الكمية])</f>
        <v>4064</v>
      </c>
      <c r="K2" s="53">
        <f>SUBTOTAL(9,Table5[الاجمالي])</f>
        <v>155015</v>
      </c>
      <c r="L2" s="53">
        <f>SUBTOTAL(9,Table5[المبلغ المدفوع])</f>
        <v>185925</v>
      </c>
      <c r="M2" s="53">
        <f>SUBTOTAL(9,Table5[متبقي])</f>
        <v>-30910</v>
      </c>
    </row>
    <row r="3" spans="1:14" ht="54.75" customHeight="1" x14ac:dyDescent="0.3">
      <c r="A3" s="54" t="s">
        <v>1</v>
      </c>
      <c r="B3" s="54" t="s">
        <v>13</v>
      </c>
      <c r="C3" s="54" t="s">
        <v>11</v>
      </c>
      <c r="D3" s="90" t="s">
        <v>3</v>
      </c>
      <c r="E3" s="54" t="s">
        <v>14</v>
      </c>
      <c r="F3" s="54" t="s">
        <v>15</v>
      </c>
      <c r="G3" s="54" t="s">
        <v>17</v>
      </c>
      <c r="H3" s="90" t="s">
        <v>51</v>
      </c>
      <c r="I3" s="90" t="s">
        <v>92</v>
      </c>
      <c r="J3" s="54" t="s">
        <v>16</v>
      </c>
      <c r="K3" s="54" t="s">
        <v>18</v>
      </c>
      <c r="L3" s="54" t="s">
        <v>24</v>
      </c>
      <c r="M3" s="54" t="s">
        <v>6</v>
      </c>
      <c r="N3" s="61" t="s">
        <v>7</v>
      </c>
    </row>
    <row r="4" spans="1:14" hidden="1" x14ac:dyDescent="0.3">
      <c r="A4" s="52">
        <v>1</v>
      </c>
      <c r="B4" s="55" t="s">
        <v>21</v>
      </c>
      <c r="C4" s="56">
        <v>45255</v>
      </c>
      <c r="D4" s="55">
        <v>201</v>
      </c>
      <c r="E4" s="57">
        <v>2</v>
      </c>
      <c r="F4" s="59">
        <v>5</v>
      </c>
      <c r="G4" s="57"/>
      <c r="H4" s="57"/>
      <c r="I4" s="57"/>
      <c r="J4" s="57">
        <f>Table5[[#This Row],[العدد]]*Table5[[#This Row],[الفئة]]</f>
        <v>10</v>
      </c>
      <c r="K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" s="57"/>
      <c r="M4" s="57">
        <f>Table5[[#This Row],[الاجمالي]]-Table5[[#This Row],[المبلغ المدفوع]]</f>
        <v>0</v>
      </c>
      <c r="N4" s="60"/>
    </row>
    <row r="5" spans="1:14" hidden="1" x14ac:dyDescent="0.3">
      <c r="A5" s="52">
        <f>A4+1</f>
        <v>2</v>
      </c>
      <c r="B5" s="55" t="s">
        <v>21</v>
      </c>
      <c r="C5" s="56">
        <v>45255</v>
      </c>
      <c r="D5" s="55">
        <v>201</v>
      </c>
      <c r="E5" s="57">
        <v>4</v>
      </c>
      <c r="F5" s="59">
        <v>5</v>
      </c>
      <c r="G5" s="57">
        <v>37</v>
      </c>
      <c r="H5" s="57"/>
      <c r="I5" s="57"/>
      <c r="J5" s="57">
        <f>Table5[[#This Row],[العدد]]*Table5[[#This Row],[الفئة]]</f>
        <v>20</v>
      </c>
      <c r="K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740</v>
      </c>
      <c r="L5" s="57"/>
      <c r="M5" s="57">
        <f>Table5[[#This Row],[الاجمالي]]-Table5[[#This Row],[المبلغ المدفوع]]</f>
        <v>740</v>
      </c>
      <c r="N5" s="60"/>
    </row>
    <row r="6" spans="1:14" hidden="1" x14ac:dyDescent="0.3">
      <c r="A6" s="52">
        <f t="shared" ref="A6:A326" si="0">A5+1</f>
        <v>3</v>
      </c>
      <c r="B6" s="55" t="s">
        <v>21</v>
      </c>
      <c r="C6" s="56">
        <v>45255</v>
      </c>
      <c r="D6" s="55">
        <v>201</v>
      </c>
      <c r="E6" s="57">
        <v>1</v>
      </c>
      <c r="F6" s="59">
        <v>5</v>
      </c>
      <c r="G6" s="57">
        <v>37</v>
      </c>
      <c r="H6" s="57"/>
      <c r="I6" s="57"/>
      <c r="J6" s="57">
        <f>Table5[[#This Row],[العدد]]*Table5[[#This Row],[الفئة]]</f>
        <v>5</v>
      </c>
      <c r="K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185</v>
      </c>
      <c r="L6" s="57"/>
      <c r="M6" s="57">
        <f>Table5[[#This Row],[الاجمالي]]-Table5[[#This Row],[المبلغ المدفوع]]</f>
        <v>185</v>
      </c>
      <c r="N6" s="60"/>
    </row>
    <row r="7" spans="1:14" hidden="1" x14ac:dyDescent="0.3">
      <c r="A7" s="52">
        <f t="shared" si="0"/>
        <v>4</v>
      </c>
      <c r="B7" s="55" t="s">
        <v>21</v>
      </c>
      <c r="C7" s="56">
        <v>45255</v>
      </c>
      <c r="D7" s="55">
        <v>201</v>
      </c>
      <c r="E7" s="57">
        <v>1</v>
      </c>
      <c r="F7" s="59">
        <v>5</v>
      </c>
      <c r="G7" s="57">
        <v>38</v>
      </c>
      <c r="H7" s="57"/>
      <c r="I7" s="57"/>
      <c r="J7" s="57">
        <f>Table5[[#This Row],[العدد]]*Table5[[#This Row],[الفئة]]</f>
        <v>5</v>
      </c>
      <c r="K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</v>
      </c>
      <c r="L7" s="57"/>
      <c r="M7" s="57">
        <f>Table5[[#This Row],[الاجمالي]]-Table5[[#This Row],[المبلغ المدفوع]]</f>
        <v>190</v>
      </c>
      <c r="N7" s="60"/>
    </row>
    <row r="8" spans="1:14" hidden="1" x14ac:dyDescent="0.3">
      <c r="A8" s="52">
        <f t="shared" si="0"/>
        <v>5</v>
      </c>
      <c r="B8" s="55"/>
      <c r="C8" s="56"/>
      <c r="D8" s="55"/>
      <c r="E8" s="57"/>
      <c r="F8" s="59"/>
      <c r="G8" s="57"/>
      <c r="H8" s="57"/>
      <c r="I8" s="57"/>
      <c r="J8" s="57">
        <f>Table5[[#This Row],[العدد]]*Table5[[#This Row],[الفئة]]</f>
        <v>0</v>
      </c>
      <c r="K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8" s="57"/>
      <c r="M8" s="57">
        <f>Table5[[#This Row],[الاجمالي]]-Table5[[#This Row],[المبلغ المدفوع]]</f>
        <v>0</v>
      </c>
      <c r="N8" s="60"/>
    </row>
    <row r="9" spans="1:14" hidden="1" x14ac:dyDescent="0.3">
      <c r="A9" s="52">
        <f t="shared" si="0"/>
        <v>6</v>
      </c>
      <c r="B9" s="55" t="s">
        <v>22</v>
      </c>
      <c r="C9" s="56">
        <v>45256</v>
      </c>
      <c r="D9" s="55">
        <v>202</v>
      </c>
      <c r="E9" s="57">
        <v>4</v>
      </c>
      <c r="F9" s="59">
        <v>5</v>
      </c>
      <c r="G9" s="57">
        <v>37</v>
      </c>
      <c r="H9" s="57"/>
      <c r="I9" s="57"/>
      <c r="J9" s="57">
        <f>Table5[[#This Row],[العدد]]*Table5[[#This Row],[الفئة]]</f>
        <v>20</v>
      </c>
      <c r="K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740</v>
      </c>
      <c r="L9" s="57"/>
      <c r="M9" s="57">
        <f>Table5[[#This Row],[الاجمالي]]-Table5[[#This Row],[المبلغ المدفوع]]</f>
        <v>740</v>
      </c>
      <c r="N9" s="60"/>
    </row>
    <row r="10" spans="1:14" hidden="1" x14ac:dyDescent="0.3">
      <c r="A10" s="52">
        <f t="shared" si="0"/>
        <v>7</v>
      </c>
      <c r="B10" s="55"/>
      <c r="C10" s="56"/>
      <c r="D10" s="55"/>
      <c r="E10" s="57"/>
      <c r="F10" s="59"/>
      <c r="G10" s="57"/>
      <c r="H10" s="57"/>
      <c r="I10" s="57"/>
      <c r="J10" s="57">
        <f>Table5[[#This Row],[العدد]]*Table5[[#This Row],[الفئة]]</f>
        <v>0</v>
      </c>
      <c r="K1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0" s="57"/>
      <c r="M10" s="57">
        <f>Table5[[#This Row],[الاجمالي]]-Table5[[#This Row],[المبلغ المدفوع]]</f>
        <v>0</v>
      </c>
      <c r="N10" s="60"/>
    </row>
    <row r="11" spans="1:14" hidden="1" x14ac:dyDescent="0.3">
      <c r="A11" s="52">
        <f t="shared" si="0"/>
        <v>8</v>
      </c>
      <c r="B11" s="55" t="s">
        <v>23</v>
      </c>
      <c r="C11" s="56">
        <v>45257</v>
      </c>
      <c r="D11" s="55">
        <v>203</v>
      </c>
      <c r="E11" s="57">
        <v>60</v>
      </c>
      <c r="F11" s="59">
        <v>5</v>
      </c>
      <c r="G11" s="57">
        <v>36</v>
      </c>
      <c r="H11" s="57"/>
      <c r="I11" s="57"/>
      <c r="J11" s="57">
        <f>Table5[[#This Row],[العدد]]*Table5[[#This Row],[الفئة]]</f>
        <v>300</v>
      </c>
      <c r="K1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10800</v>
      </c>
      <c r="L11" s="57">
        <v>10800</v>
      </c>
      <c r="M11" s="57">
        <f>Table5[[#This Row],[الاجمالي]]-Table5[[#This Row],[المبلغ المدفوع]]</f>
        <v>0</v>
      </c>
      <c r="N11" s="60"/>
    </row>
    <row r="12" spans="1:14" hidden="1" x14ac:dyDescent="0.3">
      <c r="A12" s="52">
        <f t="shared" si="0"/>
        <v>9</v>
      </c>
      <c r="B12" s="55"/>
      <c r="C12" s="56"/>
      <c r="D12" s="55"/>
      <c r="E12" s="57"/>
      <c r="F12" s="59"/>
      <c r="G12" s="57"/>
      <c r="H12" s="57"/>
      <c r="I12" s="57"/>
      <c r="J12" s="57">
        <f>Table5[[#This Row],[العدد]]*Table5[[#This Row],[الفئة]]</f>
        <v>0</v>
      </c>
      <c r="K1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" s="57"/>
      <c r="M12" s="57">
        <f>Table5[[#This Row],[الاجمالي]]-Table5[[#This Row],[المبلغ المدفوع]]</f>
        <v>0</v>
      </c>
      <c r="N12" s="60"/>
    </row>
    <row r="13" spans="1:14" hidden="1" x14ac:dyDescent="0.3">
      <c r="A13" s="52">
        <f t="shared" si="0"/>
        <v>10</v>
      </c>
      <c r="B13" s="55" t="s">
        <v>28</v>
      </c>
      <c r="C13" s="56">
        <v>45261</v>
      </c>
      <c r="D13" s="55">
        <v>204</v>
      </c>
      <c r="E13" s="57">
        <v>25</v>
      </c>
      <c r="F13" s="59">
        <v>5</v>
      </c>
      <c r="G13" s="57">
        <v>37</v>
      </c>
      <c r="H13" s="57"/>
      <c r="I13" s="57"/>
      <c r="J13" s="57">
        <f>Table5[[#This Row],[العدد]]*Table5[[#This Row],[الفئة]]</f>
        <v>125</v>
      </c>
      <c r="K1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4625</v>
      </c>
      <c r="L13" s="57">
        <v>4625</v>
      </c>
      <c r="M13" s="57">
        <f>Table5[[#This Row],[الاجمالي]]-Table5[[#This Row],[المبلغ المدفوع]]</f>
        <v>0</v>
      </c>
      <c r="N13" s="60"/>
    </row>
    <row r="14" spans="1:14" hidden="1" x14ac:dyDescent="0.3">
      <c r="A14" s="52">
        <f t="shared" si="0"/>
        <v>11</v>
      </c>
      <c r="B14" s="55" t="s">
        <v>28</v>
      </c>
      <c r="C14" s="56">
        <v>45261</v>
      </c>
      <c r="D14" s="55">
        <v>204</v>
      </c>
      <c r="E14" s="57">
        <v>4</v>
      </c>
      <c r="F14" s="59">
        <v>5</v>
      </c>
      <c r="G14" s="57">
        <v>37</v>
      </c>
      <c r="H14" s="57"/>
      <c r="I14" s="57"/>
      <c r="J14" s="57">
        <f>Table5[[#This Row],[العدد]]*Table5[[#This Row],[الفئة]]</f>
        <v>20</v>
      </c>
      <c r="K1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740</v>
      </c>
      <c r="L14" s="57">
        <v>740</v>
      </c>
      <c r="M14" s="57">
        <f>Table5[[#This Row],[الاجمالي]]-Table5[[#This Row],[المبلغ المدفوع]]</f>
        <v>0</v>
      </c>
      <c r="N14" s="60"/>
    </row>
    <row r="15" spans="1:14" hidden="1" x14ac:dyDescent="0.3">
      <c r="A15" s="52">
        <f t="shared" si="0"/>
        <v>12</v>
      </c>
      <c r="B15" s="55" t="s">
        <v>28</v>
      </c>
      <c r="C15" s="56">
        <v>45261</v>
      </c>
      <c r="D15" s="55">
        <v>204</v>
      </c>
      <c r="E15" s="57">
        <v>3</v>
      </c>
      <c r="F15" s="59">
        <v>2</v>
      </c>
      <c r="G15" s="57">
        <v>35</v>
      </c>
      <c r="H15" s="57"/>
      <c r="I15" s="57"/>
      <c r="J15" s="57">
        <f>Table5[[#This Row],[العدد]]*Table5[[#This Row],[الفئة]]</f>
        <v>6</v>
      </c>
      <c r="K1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210</v>
      </c>
      <c r="L15" s="57">
        <v>210</v>
      </c>
      <c r="M15" s="57">
        <f>Table5[[#This Row],[الاجمالي]]-Table5[[#This Row],[المبلغ المدفوع]]</f>
        <v>0</v>
      </c>
      <c r="N15" s="60"/>
    </row>
    <row r="16" spans="1:14" hidden="1" x14ac:dyDescent="0.3">
      <c r="A16" s="52">
        <f t="shared" si="0"/>
        <v>13</v>
      </c>
      <c r="B16" s="55" t="s">
        <v>28</v>
      </c>
      <c r="C16" s="56">
        <v>45261</v>
      </c>
      <c r="D16" s="55">
        <v>204</v>
      </c>
      <c r="E16" s="57">
        <v>3</v>
      </c>
      <c r="F16" s="59">
        <v>0.8</v>
      </c>
      <c r="G16" s="57">
        <v>35</v>
      </c>
      <c r="H16" s="57"/>
      <c r="I16" s="57"/>
      <c r="J16" s="57">
        <f>Table5[[#This Row],[العدد]]*Table5[[#This Row],[الفئة]]</f>
        <v>2.4000000000000004</v>
      </c>
      <c r="K1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105</v>
      </c>
      <c r="L16" s="57">
        <v>84.000000000000014</v>
      </c>
      <c r="M16" s="57">
        <f>Table5[[#This Row],[الاجمالي]]-Table5[[#This Row],[المبلغ المدفوع]]</f>
        <v>20.999999999999986</v>
      </c>
      <c r="N16" s="60"/>
    </row>
    <row r="17" spans="1:14" hidden="1" x14ac:dyDescent="0.3">
      <c r="A17" s="52">
        <f t="shared" si="0"/>
        <v>14</v>
      </c>
      <c r="B17" s="55"/>
      <c r="C17" s="56"/>
      <c r="D17" s="55"/>
      <c r="E17" s="57"/>
      <c r="F17" s="59"/>
      <c r="G17" s="57"/>
      <c r="H17" s="57"/>
      <c r="I17" s="57"/>
      <c r="J17" s="57">
        <f>Table5[[#This Row],[العدد]]*Table5[[#This Row],[الفئة]]</f>
        <v>0</v>
      </c>
      <c r="K1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7" s="57"/>
      <c r="M17" s="57">
        <f>Table5[[#This Row],[الاجمالي]]-Table5[[#This Row],[المبلغ المدفوع]]</f>
        <v>0</v>
      </c>
      <c r="N17" s="60"/>
    </row>
    <row r="18" spans="1:14" x14ac:dyDescent="0.3">
      <c r="A18" s="52">
        <f t="shared" si="0"/>
        <v>15</v>
      </c>
      <c r="B18" s="55" t="s">
        <v>29</v>
      </c>
      <c r="C18" s="56">
        <v>45263</v>
      </c>
      <c r="D18" s="55">
        <v>205</v>
      </c>
      <c r="E18" s="57">
        <v>5</v>
      </c>
      <c r="F18" s="59">
        <v>5</v>
      </c>
      <c r="G18" s="57">
        <v>37</v>
      </c>
      <c r="H18" s="57"/>
      <c r="I18" s="57"/>
      <c r="J18" s="57">
        <f>Table5[[#This Row],[العدد]]*Table5[[#This Row],[الفئة]]</f>
        <v>25</v>
      </c>
      <c r="K1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925</v>
      </c>
      <c r="L18" s="57">
        <v>925</v>
      </c>
      <c r="M18" s="57">
        <f>Table5[[#This Row],[الاجمالي]]-Table5[[#This Row],[المبلغ المدفوع]]</f>
        <v>0</v>
      </c>
      <c r="N18" s="60"/>
    </row>
    <row r="19" spans="1:14" hidden="1" x14ac:dyDescent="0.3">
      <c r="A19" s="52">
        <f t="shared" si="0"/>
        <v>16</v>
      </c>
      <c r="B19" s="55"/>
      <c r="C19" s="56"/>
      <c r="D19" s="55"/>
      <c r="E19" s="57"/>
      <c r="F19" s="59"/>
      <c r="G19" s="57"/>
      <c r="H19" s="57"/>
      <c r="I19" s="57"/>
      <c r="J19" s="57">
        <f>Table5[[#This Row],[العدد]]*Table5[[#This Row],[الفئة]]</f>
        <v>0</v>
      </c>
      <c r="K1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9" s="57"/>
      <c r="M19" s="57">
        <f>Table5[[#This Row],[الاجمالي]]-Table5[[#This Row],[المبلغ المدفوع]]</f>
        <v>0</v>
      </c>
      <c r="N19" s="60"/>
    </row>
    <row r="20" spans="1:14" hidden="1" x14ac:dyDescent="0.3">
      <c r="A20" s="52">
        <f t="shared" si="0"/>
        <v>17</v>
      </c>
      <c r="B20" s="55" t="s">
        <v>30</v>
      </c>
      <c r="C20" s="56">
        <v>45268</v>
      </c>
      <c r="D20" s="55">
        <v>206</v>
      </c>
      <c r="E20" s="57">
        <v>4</v>
      </c>
      <c r="F20" s="59">
        <v>5</v>
      </c>
      <c r="G20" s="57">
        <v>37</v>
      </c>
      <c r="H20" s="57"/>
      <c r="I20" s="57"/>
      <c r="J20" s="57">
        <f>Table5[[#This Row],[العدد]]*Table5[[#This Row],[الفئة]]</f>
        <v>20</v>
      </c>
      <c r="K2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740</v>
      </c>
      <c r="L20" s="57">
        <v>740</v>
      </c>
      <c r="M20" s="57">
        <f>Table5[[#This Row],[الاجمالي]]-Table5[[#This Row],[المبلغ المدفوع]]</f>
        <v>0</v>
      </c>
      <c r="N20" s="60"/>
    </row>
    <row r="21" spans="1:14" hidden="1" x14ac:dyDescent="0.3">
      <c r="A21" s="52">
        <f t="shared" si="0"/>
        <v>18</v>
      </c>
      <c r="B21" s="55" t="s">
        <v>30</v>
      </c>
      <c r="C21" s="56">
        <v>45268</v>
      </c>
      <c r="D21" s="55">
        <v>206</v>
      </c>
      <c r="E21" s="57">
        <v>19</v>
      </c>
      <c r="F21" s="59">
        <v>0.8</v>
      </c>
      <c r="G21" s="57">
        <v>35</v>
      </c>
      <c r="H21" s="57"/>
      <c r="I21" s="57"/>
      <c r="J21" s="57">
        <f>Table5[[#This Row],[العدد]]*Table5[[#This Row],[الفئة]]</f>
        <v>15.200000000000001</v>
      </c>
      <c r="K2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665</v>
      </c>
      <c r="L21" s="57">
        <v>532</v>
      </c>
      <c r="M21" s="57">
        <f>Table5[[#This Row],[الاجمالي]]-Table5[[#This Row],[المبلغ المدفوع]]</f>
        <v>133</v>
      </c>
      <c r="N21" s="60"/>
    </row>
    <row r="22" spans="1:14" hidden="1" x14ac:dyDescent="0.3">
      <c r="A22" s="52">
        <f t="shared" si="0"/>
        <v>19</v>
      </c>
      <c r="B22" s="55" t="s">
        <v>30</v>
      </c>
      <c r="C22" s="56">
        <v>45268</v>
      </c>
      <c r="D22" s="55">
        <v>206</v>
      </c>
      <c r="E22" s="57">
        <v>6</v>
      </c>
      <c r="F22" s="59">
        <v>2</v>
      </c>
      <c r="G22" s="57">
        <v>35</v>
      </c>
      <c r="H22" s="57"/>
      <c r="I22" s="57"/>
      <c r="J22" s="57">
        <f>Table5[[#This Row],[العدد]]*Table5[[#This Row],[الفئة]]</f>
        <v>12</v>
      </c>
      <c r="K2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420</v>
      </c>
      <c r="L22" s="57">
        <v>420</v>
      </c>
      <c r="M22" s="57">
        <f>Table5[[#This Row],[الاجمالي]]-Table5[[#This Row],[المبلغ المدفوع]]</f>
        <v>0</v>
      </c>
      <c r="N22" s="60"/>
    </row>
    <row r="23" spans="1:14" hidden="1" x14ac:dyDescent="0.3">
      <c r="A23" s="52">
        <f t="shared" si="0"/>
        <v>20</v>
      </c>
      <c r="B23" s="55"/>
      <c r="C23" s="56"/>
      <c r="D23" s="55"/>
      <c r="E23" s="57"/>
      <c r="F23" s="59"/>
      <c r="G23" s="57"/>
      <c r="H23" s="57"/>
      <c r="I23" s="57"/>
      <c r="J23" s="57">
        <f>Table5[[#This Row],[العدد]]*Table5[[#This Row],[الفئة]]</f>
        <v>0</v>
      </c>
      <c r="K2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3" s="57">
        <f>Table5[[#This Row],[الاجمالي]]</f>
        <v>0</v>
      </c>
      <c r="M23" s="57">
        <f>Table5[[#This Row],[الاجمالي]]-Table5[[#This Row],[المبلغ المدفوع]]</f>
        <v>0</v>
      </c>
      <c r="N23" s="60"/>
    </row>
    <row r="24" spans="1:14" hidden="1" x14ac:dyDescent="0.3">
      <c r="A24" s="52">
        <f t="shared" si="0"/>
        <v>21</v>
      </c>
      <c r="B24" s="55" t="s">
        <v>31</v>
      </c>
      <c r="C24" s="56">
        <v>45269</v>
      </c>
      <c r="D24" s="55">
        <v>207</v>
      </c>
      <c r="E24" s="57">
        <v>6</v>
      </c>
      <c r="F24" s="59">
        <v>5</v>
      </c>
      <c r="G24" s="57">
        <v>37</v>
      </c>
      <c r="H24" s="57"/>
      <c r="I24" s="57"/>
      <c r="J24" s="57">
        <f>Table5[[#This Row],[العدد]]*Table5[[#This Row],[الفئة]]</f>
        <v>30</v>
      </c>
      <c r="K2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1110</v>
      </c>
      <c r="L24" s="57">
        <f>Table5[[#This Row],[الاجمالي]]</f>
        <v>1110</v>
      </c>
      <c r="M24" s="57">
        <f>Table5[[#This Row],[الاجمالي]]-Table5[[#This Row],[المبلغ المدفوع]]</f>
        <v>0</v>
      </c>
      <c r="N24" s="60"/>
    </row>
    <row r="25" spans="1:14" hidden="1" x14ac:dyDescent="0.3">
      <c r="A25" s="52">
        <f t="shared" si="0"/>
        <v>22</v>
      </c>
      <c r="B25" s="55" t="s">
        <v>31</v>
      </c>
      <c r="C25" s="56">
        <v>45269</v>
      </c>
      <c r="D25" s="55">
        <v>207</v>
      </c>
      <c r="E25" s="57">
        <v>6</v>
      </c>
      <c r="F25" s="59">
        <v>0.8</v>
      </c>
      <c r="G25" s="57">
        <v>35</v>
      </c>
      <c r="H25" s="57"/>
      <c r="I25" s="57"/>
      <c r="J25" s="57">
        <f>Table5[[#This Row],[العدد]]*Table5[[#This Row],[الفئة]]</f>
        <v>4.8000000000000007</v>
      </c>
      <c r="K2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210</v>
      </c>
      <c r="L25" s="57">
        <f>Table5[[#This Row],[الاجمالي]]</f>
        <v>210</v>
      </c>
      <c r="M25" s="57">
        <f>Table5[[#This Row],[الاجمالي]]-Table5[[#This Row],[المبلغ المدفوع]]</f>
        <v>0</v>
      </c>
      <c r="N25" s="60"/>
    </row>
    <row r="26" spans="1:14" hidden="1" x14ac:dyDescent="0.3">
      <c r="A26" s="52">
        <f t="shared" si="0"/>
        <v>23</v>
      </c>
      <c r="B26" s="55" t="s">
        <v>31</v>
      </c>
      <c r="C26" s="56">
        <v>45269</v>
      </c>
      <c r="D26" s="55">
        <v>207</v>
      </c>
      <c r="E26" s="57">
        <v>2</v>
      </c>
      <c r="F26" s="59">
        <v>5</v>
      </c>
      <c r="G26" s="57">
        <v>38</v>
      </c>
      <c r="H26" s="57"/>
      <c r="I26" s="57"/>
      <c r="J26" s="57">
        <f>Table5[[#This Row],[العدد]]*Table5[[#This Row],[الفئة]]</f>
        <v>10</v>
      </c>
      <c r="K2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</v>
      </c>
      <c r="L26" s="57">
        <f>Table5[[#This Row],[الاجمالي]]</f>
        <v>380</v>
      </c>
      <c r="M26" s="57">
        <f>Table5[[#This Row],[الاجمالي]]-Table5[[#This Row],[المبلغ المدفوع]]</f>
        <v>0</v>
      </c>
      <c r="N26" s="60"/>
    </row>
    <row r="27" spans="1:14" hidden="1" x14ac:dyDescent="0.3">
      <c r="A27" s="52">
        <f t="shared" si="0"/>
        <v>24</v>
      </c>
      <c r="B27" s="55" t="s">
        <v>31</v>
      </c>
      <c r="C27" s="56">
        <v>45269</v>
      </c>
      <c r="D27" s="55">
        <v>207</v>
      </c>
      <c r="E27" s="57">
        <v>4</v>
      </c>
      <c r="F27" s="59">
        <v>5</v>
      </c>
      <c r="G27" s="57">
        <v>38</v>
      </c>
      <c r="H27" s="57"/>
      <c r="I27" s="57"/>
      <c r="J27" s="57">
        <f>Table5[[#This Row],[العدد]]*Table5[[#This Row],[الفئة]]</f>
        <v>20</v>
      </c>
      <c r="K2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27" s="57">
        <f>Table5[[#This Row],[الاجمالي]]</f>
        <v>760</v>
      </c>
      <c r="M27" s="57">
        <f>Table5[[#This Row],[الاجمالي]]-Table5[[#This Row],[المبلغ المدفوع]]</f>
        <v>0</v>
      </c>
      <c r="N27" s="60"/>
    </row>
    <row r="28" spans="1:14" hidden="1" x14ac:dyDescent="0.3">
      <c r="A28" s="52">
        <f t="shared" si="0"/>
        <v>25</v>
      </c>
      <c r="B28" s="55"/>
      <c r="C28" s="56"/>
      <c r="D28" s="55"/>
      <c r="E28" s="57"/>
      <c r="F28" s="59"/>
      <c r="G28" s="57"/>
      <c r="H28" s="57"/>
      <c r="I28" s="57"/>
      <c r="J28" s="57">
        <f>Table5[[#This Row],[العدد]]*Table5[[#This Row],[الفئة]]</f>
        <v>0</v>
      </c>
      <c r="K2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8" s="57">
        <f>Table5[[#This Row],[الاجمالي]]</f>
        <v>0</v>
      </c>
      <c r="M28" s="57">
        <f>Table5[[#This Row],[الاجمالي]]-Table5[[#This Row],[المبلغ المدفوع]]</f>
        <v>0</v>
      </c>
      <c r="N28" s="60"/>
    </row>
    <row r="29" spans="1:14" hidden="1" x14ac:dyDescent="0.3">
      <c r="A29" s="52">
        <f t="shared" si="0"/>
        <v>26</v>
      </c>
      <c r="B29" s="55" t="s">
        <v>28</v>
      </c>
      <c r="C29" s="56">
        <v>45269</v>
      </c>
      <c r="D29" s="55">
        <v>208</v>
      </c>
      <c r="E29" s="57">
        <v>3</v>
      </c>
      <c r="F29" s="59">
        <v>5</v>
      </c>
      <c r="G29" s="57">
        <v>37</v>
      </c>
      <c r="H29" s="57"/>
      <c r="I29" s="57"/>
      <c r="J29" s="57">
        <f>Table5[[#This Row],[العدد]]*Table5[[#This Row],[الفئة]]</f>
        <v>15</v>
      </c>
      <c r="K2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555</v>
      </c>
      <c r="L29" s="57">
        <f>Table5[[#This Row],[الاجمالي]]</f>
        <v>555</v>
      </c>
      <c r="M29" s="57">
        <f>Table5[[#This Row],[الاجمالي]]-Table5[[#This Row],[المبلغ المدفوع]]</f>
        <v>0</v>
      </c>
      <c r="N29" s="60"/>
    </row>
    <row r="30" spans="1:14" hidden="1" x14ac:dyDescent="0.3">
      <c r="A30" s="52">
        <f t="shared" si="0"/>
        <v>27</v>
      </c>
      <c r="B30" s="55" t="s">
        <v>28</v>
      </c>
      <c r="C30" s="56">
        <v>45269</v>
      </c>
      <c r="D30" s="55">
        <v>208</v>
      </c>
      <c r="E30" s="57">
        <v>2</v>
      </c>
      <c r="F30" s="59">
        <v>0.8</v>
      </c>
      <c r="G30" s="57">
        <v>35</v>
      </c>
      <c r="H30" s="57"/>
      <c r="I30" s="57"/>
      <c r="J30" s="57">
        <f>Table5[[#This Row],[العدد]]*Table5[[#This Row],[الفئة]]</f>
        <v>1.6</v>
      </c>
      <c r="K3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70</v>
      </c>
      <c r="L30" s="57">
        <f>Table5[[#This Row],[الاجمالي]]</f>
        <v>70</v>
      </c>
      <c r="M30" s="57">
        <f>Table5[[#This Row],[الاجمالي]]-Table5[[#This Row],[المبلغ المدفوع]]</f>
        <v>0</v>
      </c>
      <c r="N30" s="60"/>
    </row>
    <row r="31" spans="1:14" hidden="1" x14ac:dyDescent="0.3">
      <c r="A31" s="52">
        <f t="shared" si="0"/>
        <v>28</v>
      </c>
      <c r="B31" s="55"/>
      <c r="C31" s="56"/>
      <c r="D31" s="55"/>
      <c r="E31" s="57"/>
      <c r="F31" s="59"/>
      <c r="G31" s="57"/>
      <c r="H31" s="57"/>
      <c r="I31" s="57"/>
      <c r="J31" s="57">
        <f>Table5[[#This Row],[العدد]]*Table5[[#This Row],[الفئة]]</f>
        <v>0</v>
      </c>
      <c r="K3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1" s="57">
        <f>Table5[[#This Row],[الاجمالي]]</f>
        <v>0</v>
      </c>
      <c r="M31" s="57">
        <f>Table5[[#This Row],[الاجمالي]]-Table5[[#This Row],[المبلغ المدفوع]]</f>
        <v>0</v>
      </c>
      <c r="N31" s="60"/>
    </row>
    <row r="32" spans="1:14" hidden="1" x14ac:dyDescent="0.3">
      <c r="A32" s="52">
        <f t="shared" si="0"/>
        <v>29</v>
      </c>
      <c r="B32" s="55" t="s">
        <v>33</v>
      </c>
      <c r="C32" s="56">
        <v>45269</v>
      </c>
      <c r="D32" s="55">
        <v>209</v>
      </c>
      <c r="E32" s="57">
        <v>3</v>
      </c>
      <c r="F32" s="59">
        <v>0.8</v>
      </c>
      <c r="G32" s="57">
        <v>35</v>
      </c>
      <c r="H32" s="57"/>
      <c r="I32" s="57"/>
      <c r="J32" s="57">
        <f>Table5[[#This Row],[العدد]]*Table5[[#This Row],[الفئة]]</f>
        <v>2.4000000000000004</v>
      </c>
      <c r="K3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105</v>
      </c>
      <c r="L32" s="57">
        <f>Table5[[#This Row],[الاجمالي]]</f>
        <v>105</v>
      </c>
      <c r="M32" s="57">
        <f>Table5[[#This Row],[الاجمالي]]-Table5[[#This Row],[المبلغ المدفوع]]</f>
        <v>0</v>
      </c>
      <c r="N32" s="60" t="s">
        <v>34</v>
      </c>
    </row>
    <row r="33" spans="1:14" hidden="1" x14ac:dyDescent="0.3">
      <c r="A33" s="52">
        <f t="shared" si="0"/>
        <v>30</v>
      </c>
      <c r="B33" s="55" t="s">
        <v>33</v>
      </c>
      <c r="C33" s="56">
        <v>45270</v>
      </c>
      <c r="D33" s="55">
        <v>210</v>
      </c>
      <c r="E33" s="57">
        <v>2</v>
      </c>
      <c r="F33" s="59">
        <v>0.8</v>
      </c>
      <c r="G33" s="57">
        <v>35</v>
      </c>
      <c r="H33" s="57"/>
      <c r="I33" s="57"/>
      <c r="J33" s="57">
        <f>Table5[[#This Row],[العدد]]*Table5[[#This Row],[الفئة]]</f>
        <v>1.6</v>
      </c>
      <c r="K3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70</v>
      </c>
      <c r="L33" s="57">
        <f>Table5[[#This Row],[الاجمالي]]</f>
        <v>70</v>
      </c>
      <c r="M33" s="57">
        <f>Table5[[#This Row],[الاجمالي]]-Table5[[#This Row],[المبلغ المدفوع]]</f>
        <v>0</v>
      </c>
      <c r="N33" s="60"/>
    </row>
    <row r="34" spans="1:14" hidden="1" x14ac:dyDescent="0.3">
      <c r="A34" s="52">
        <f t="shared" si="0"/>
        <v>31</v>
      </c>
      <c r="B34" s="55"/>
      <c r="C34" s="56"/>
      <c r="D34" s="55"/>
      <c r="E34" s="57"/>
      <c r="F34" s="59"/>
      <c r="G34" s="57"/>
      <c r="H34" s="57"/>
      <c r="I34" s="57"/>
      <c r="J34" s="57">
        <f>Table5[[#This Row],[العدد]]*Table5[[#This Row],[الفئة]]</f>
        <v>0</v>
      </c>
      <c r="K3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4" s="57">
        <f>Table5[[#This Row],[الاجمالي]]</f>
        <v>0</v>
      </c>
      <c r="M34" s="57">
        <f>Table5[[#This Row],[الاجمالي]]-Table5[[#This Row],[المبلغ المدفوع]]</f>
        <v>0</v>
      </c>
      <c r="N34" s="60"/>
    </row>
    <row r="35" spans="1:14" hidden="1" x14ac:dyDescent="0.3">
      <c r="A35" s="52">
        <f t="shared" si="0"/>
        <v>32</v>
      </c>
      <c r="B35" s="55" t="s">
        <v>35</v>
      </c>
      <c r="C35" s="56">
        <v>45271</v>
      </c>
      <c r="D35" s="55">
        <v>210</v>
      </c>
      <c r="E35" s="57">
        <v>1</v>
      </c>
      <c r="F35" s="59">
        <v>5</v>
      </c>
      <c r="G35" s="57">
        <v>38</v>
      </c>
      <c r="H35" s="57"/>
      <c r="I35" s="57"/>
      <c r="J35" s="57">
        <f>Table5[[#This Row],[العدد]]*Table5[[#This Row],[الفئة]]</f>
        <v>5</v>
      </c>
      <c r="K3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</v>
      </c>
      <c r="L35" s="57">
        <f>Table5[[#This Row],[الاجمالي]]</f>
        <v>190</v>
      </c>
      <c r="M35" s="57">
        <f>Table5[[#This Row],[الاجمالي]]-Table5[[#This Row],[المبلغ المدفوع]]</f>
        <v>0</v>
      </c>
      <c r="N35" s="60"/>
    </row>
    <row r="36" spans="1:14" hidden="1" x14ac:dyDescent="0.3">
      <c r="A36" s="52">
        <f t="shared" si="0"/>
        <v>33</v>
      </c>
      <c r="B36" s="55"/>
      <c r="C36" s="56"/>
      <c r="D36" s="55"/>
      <c r="E36" s="57"/>
      <c r="F36" s="59"/>
      <c r="G36" s="57"/>
      <c r="H36" s="57"/>
      <c r="I36" s="57"/>
      <c r="J36" s="57">
        <f>Table5[[#This Row],[العدد]]*Table5[[#This Row],[الفئة]]</f>
        <v>0</v>
      </c>
      <c r="K3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6" s="57">
        <f>Table5[[#This Row],[الاجمالي]]</f>
        <v>0</v>
      </c>
      <c r="M36" s="57">
        <f>Table5[[#This Row],[الاجمالي]]-Table5[[#This Row],[المبلغ المدفوع]]</f>
        <v>0</v>
      </c>
      <c r="N36" s="60"/>
    </row>
    <row r="37" spans="1:14" hidden="1" x14ac:dyDescent="0.3">
      <c r="A37" s="52">
        <f t="shared" si="0"/>
        <v>34</v>
      </c>
      <c r="B37" s="55" t="s">
        <v>22</v>
      </c>
      <c r="C37" s="56">
        <v>45274</v>
      </c>
      <c r="D37" s="55">
        <v>211</v>
      </c>
      <c r="E37" s="57">
        <v>3</v>
      </c>
      <c r="F37" s="59">
        <v>5</v>
      </c>
      <c r="G37" s="57">
        <v>38</v>
      </c>
      <c r="H37" s="57"/>
      <c r="I37" s="57"/>
      <c r="J37" s="57">
        <f>Table5[[#This Row],[العدد]]*Table5[[#This Row],[الفئة]]</f>
        <v>15</v>
      </c>
      <c r="K3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</v>
      </c>
      <c r="L37" s="57">
        <f>Table5[[#This Row],[الاجمالي]]</f>
        <v>570</v>
      </c>
      <c r="M37" s="57">
        <f>Table5[[#This Row],[الاجمالي]]-Table5[[#This Row],[المبلغ المدفوع]]</f>
        <v>0</v>
      </c>
      <c r="N37" s="60"/>
    </row>
    <row r="38" spans="1:14" hidden="1" x14ac:dyDescent="0.3">
      <c r="A38" s="52">
        <f t="shared" si="0"/>
        <v>35</v>
      </c>
      <c r="B38" s="55"/>
      <c r="C38" s="56"/>
      <c r="D38" s="55"/>
      <c r="E38" s="57"/>
      <c r="F38" s="59"/>
      <c r="G38" s="57"/>
      <c r="H38" s="57"/>
      <c r="I38" s="57"/>
      <c r="J38" s="57">
        <f>Table5[[#This Row],[العدد]]*Table5[[#This Row],[الفئة]]</f>
        <v>0</v>
      </c>
      <c r="K3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8" s="57"/>
      <c r="M38" s="57">
        <f>Table5[[#This Row],[الاجمالي]]-Table5[[#This Row],[المبلغ المدفوع]]</f>
        <v>0</v>
      </c>
      <c r="N38" s="60"/>
    </row>
    <row r="39" spans="1:14" hidden="1" x14ac:dyDescent="0.3">
      <c r="A39" s="52">
        <f t="shared" si="0"/>
        <v>36</v>
      </c>
      <c r="B39" s="55" t="s">
        <v>37</v>
      </c>
      <c r="C39" s="56" t="s">
        <v>36</v>
      </c>
      <c r="D39" s="55">
        <v>212</v>
      </c>
      <c r="E39" s="57">
        <v>7</v>
      </c>
      <c r="F39" s="59">
        <v>5</v>
      </c>
      <c r="G39" s="57">
        <v>38</v>
      </c>
      <c r="H39" s="57"/>
      <c r="I39" s="57"/>
      <c r="J39" s="57">
        <f>Table5[[#This Row],[العدد]]*Table5[[#This Row],[الفئة]]</f>
        <v>35</v>
      </c>
      <c r="K3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1330</v>
      </c>
      <c r="L39" s="57">
        <f>Table5[[#This Row],[الاجمالي]]</f>
        <v>1330</v>
      </c>
      <c r="M39" s="57">
        <f>Table5[[#This Row],[الاجمالي]]-Table5[[#This Row],[المبلغ المدفوع]]</f>
        <v>0</v>
      </c>
      <c r="N39" s="60"/>
    </row>
    <row r="40" spans="1:14" hidden="1" x14ac:dyDescent="0.3">
      <c r="A40" s="52">
        <f t="shared" si="0"/>
        <v>37</v>
      </c>
      <c r="B40" s="55" t="s">
        <v>37</v>
      </c>
      <c r="C40" s="56" t="s">
        <v>36</v>
      </c>
      <c r="D40" s="55">
        <v>212</v>
      </c>
      <c r="E40" s="57">
        <v>2</v>
      </c>
      <c r="F40" s="59">
        <v>1.6</v>
      </c>
      <c r="G40" s="57">
        <v>35</v>
      </c>
      <c r="H40" s="57"/>
      <c r="I40" s="57"/>
      <c r="J40" s="57">
        <f>Table5[[#This Row],[العدد]]*Table5[[#This Row],[الفئة]]</f>
        <v>3.2</v>
      </c>
      <c r="K4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</v>
      </c>
      <c r="L40" s="57">
        <f>Table5[[#This Row],[الاجمالي]]</f>
        <v>140</v>
      </c>
      <c r="M40" s="57">
        <f>Table5[[#This Row],[الاجمالي]]-Table5[[#This Row],[المبلغ المدفوع]]</f>
        <v>0</v>
      </c>
      <c r="N40" s="60"/>
    </row>
    <row r="41" spans="1:14" hidden="1" x14ac:dyDescent="0.3">
      <c r="A41" s="52">
        <f t="shared" si="0"/>
        <v>38</v>
      </c>
      <c r="B41" s="55"/>
      <c r="C41" s="56"/>
      <c r="D41" s="55"/>
      <c r="E41" s="57"/>
      <c r="F41" s="59"/>
      <c r="G41" s="57"/>
      <c r="H41" s="57"/>
      <c r="I41" s="57"/>
      <c r="J41" s="57">
        <f>Table5[[#This Row],[العدد]]*Table5[[#This Row],[الفئة]]</f>
        <v>0</v>
      </c>
      <c r="K4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" s="57"/>
      <c r="M41" s="57">
        <f>Table5[[#This Row],[الاجمالي]]-Table5[[#This Row],[المبلغ المدفوع]]</f>
        <v>0</v>
      </c>
      <c r="N41" s="60"/>
    </row>
    <row r="42" spans="1:14" hidden="1" x14ac:dyDescent="0.3">
      <c r="A42" s="52">
        <f t="shared" si="0"/>
        <v>39</v>
      </c>
      <c r="B42" s="55" t="s">
        <v>38</v>
      </c>
      <c r="C42" s="56">
        <v>45276</v>
      </c>
      <c r="D42" s="55">
        <v>213</v>
      </c>
      <c r="E42" s="57">
        <v>13</v>
      </c>
      <c r="F42" s="59">
        <v>0.8</v>
      </c>
      <c r="G42" s="57">
        <v>35</v>
      </c>
      <c r="H42" s="57"/>
      <c r="I42" s="57"/>
      <c r="J42" s="57">
        <f>Table5[[#This Row],[العدد]]*Table5[[#This Row],[الفئة]]</f>
        <v>10.4</v>
      </c>
      <c r="K4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455</v>
      </c>
      <c r="L42" s="57">
        <f>Table5[[#This Row],[الاجمالي]]</f>
        <v>455</v>
      </c>
      <c r="M42" s="57">
        <f>Table5[[#This Row],[الاجمالي]]-Table5[[#This Row],[المبلغ المدفوع]]</f>
        <v>0</v>
      </c>
      <c r="N42" s="60"/>
    </row>
    <row r="43" spans="1:14" hidden="1" x14ac:dyDescent="0.3">
      <c r="A43" s="52">
        <f t="shared" si="0"/>
        <v>40</v>
      </c>
      <c r="B43" s="55" t="s">
        <v>38</v>
      </c>
      <c r="C43" s="56">
        <v>45276</v>
      </c>
      <c r="D43" s="55">
        <v>213</v>
      </c>
      <c r="E43" s="57">
        <v>5</v>
      </c>
      <c r="F43" s="59">
        <v>0.8</v>
      </c>
      <c r="G43" s="57">
        <v>35</v>
      </c>
      <c r="H43" s="57"/>
      <c r="I43" s="57"/>
      <c r="J43" s="57">
        <f>Table5[[#This Row],[العدد]]*Table5[[#This Row],[الفئة]]</f>
        <v>4</v>
      </c>
      <c r="K4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175</v>
      </c>
      <c r="L43" s="57">
        <f>Table5[[#This Row],[الاجمالي]]</f>
        <v>175</v>
      </c>
      <c r="M43" s="57">
        <f>Table5[[#This Row],[الاجمالي]]-Table5[[#This Row],[المبلغ المدفوع]]</f>
        <v>0</v>
      </c>
      <c r="N43" s="60"/>
    </row>
    <row r="44" spans="1:14" hidden="1" x14ac:dyDescent="0.3">
      <c r="A44" s="52">
        <f t="shared" si="0"/>
        <v>41</v>
      </c>
      <c r="B44" s="55"/>
      <c r="C44" s="56"/>
      <c r="D44" s="55"/>
      <c r="E44" s="57"/>
      <c r="F44" s="59"/>
      <c r="G44" s="57"/>
      <c r="H44" s="57"/>
      <c r="I44" s="57"/>
      <c r="J44" s="57">
        <f>Table5[[#This Row],[العدد]]*Table5[[#This Row],[الفئة]]</f>
        <v>0</v>
      </c>
      <c r="K4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4" s="57"/>
      <c r="M44" s="57">
        <f>Table5[[#This Row],[الاجمالي]]-Table5[[#This Row],[المبلغ المدفوع]]</f>
        <v>0</v>
      </c>
      <c r="N44" s="60"/>
    </row>
    <row r="45" spans="1:14" hidden="1" x14ac:dyDescent="0.3">
      <c r="A45" s="52">
        <f t="shared" si="0"/>
        <v>42</v>
      </c>
      <c r="B45" s="55" t="s">
        <v>39</v>
      </c>
      <c r="C45" s="56">
        <v>45276</v>
      </c>
      <c r="D45" s="55">
        <v>214</v>
      </c>
      <c r="E45" s="57">
        <v>30</v>
      </c>
      <c r="F45" s="59">
        <v>5</v>
      </c>
      <c r="G45" s="57">
        <v>38</v>
      </c>
      <c r="H45" s="57"/>
      <c r="I45" s="57"/>
      <c r="J45" s="57">
        <f>Table5[[#This Row],[العدد]]*Table5[[#This Row],[الفئة]]</f>
        <v>150</v>
      </c>
      <c r="K4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5700</v>
      </c>
      <c r="L45" s="57">
        <f>Table5[[#This Row],[الاجمالي]]</f>
        <v>5700</v>
      </c>
      <c r="M45" s="57">
        <f>Table5[[#This Row],[الاجمالي]]-Table5[[#This Row],[المبلغ المدفوع]]</f>
        <v>0</v>
      </c>
      <c r="N45" s="60" t="s">
        <v>40</v>
      </c>
    </row>
    <row r="46" spans="1:14" hidden="1" x14ac:dyDescent="0.3">
      <c r="A46" s="52">
        <f t="shared" si="0"/>
        <v>43</v>
      </c>
      <c r="B46" s="55" t="s">
        <v>39</v>
      </c>
      <c r="C46" s="56">
        <v>45276</v>
      </c>
      <c r="D46" s="55">
        <v>214</v>
      </c>
      <c r="E46" s="57">
        <v>15</v>
      </c>
      <c r="F46" s="59">
        <v>5</v>
      </c>
      <c r="G46" s="57">
        <v>40</v>
      </c>
      <c r="H46" s="57"/>
      <c r="I46" s="57"/>
      <c r="J46" s="57">
        <f>Table5[[#This Row],[العدد]]*Table5[[#This Row],[الفئة]]</f>
        <v>75</v>
      </c>
      <c r="K4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</v>
      </c>
      <c r="L46" s="57">
        <f>Table5[[#This Row],[الاجمالي]]</f>
        <v>3000</v>
      </c>
      <c r="M46" s="57">
        <f>Table5[[#This Row],[الاجمالي]]-Table5[[#This Row],[المبلغ المدفوع]]</f>
        <v>0</v>
      </c>
      <c r="N46" s="60" t="s">
        <v>40</v>
      </c>
    </row>
    <row r="47" spans="1:14" hidden="1" x14ac:dyDescent="0.3">
      <c r="A47" s="52">
        <f t="shared" si="0"/>
        <v>44</v>
      </c>
      <c r="B47" s="55"/>
      <c r="C47" s="56"/>
      <c r="D47" s="55"/>
      <c r="E47" s="57"/>
      <c r="F47" s="59"/>
      <c r="G47" s="57"/>
      <c r="H47" s="57"/>
      <c r="I47" s="57"/>
      <c r="J47" s="57">
        <f>Table5[[#This Row],[العدد]]*Table5[[#This Row],[الفئة]]</f>
        <v>0</v>
      </c>
      <c r="K4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7" s="57"/>
      <c r="M47" s="57">
        <f>Table5[[#This Row],[الاجمالي]]-Table5[[#This Row],[المبلغ المدفوع]]</f>
        <v>0</v>
      </c>
      <c r="N47" s="60"/>
    </row>
    <row r="48" spans="1:14" hidden="1" x14ac:dyDescent="0.3">
      <c r="A48" s="52">
        <f t="shared" si="0"/>
        <v>45</v>
      </c>
      <c r="B48" s="55" t="s">
        <v>31</v>
      </c>
      <c r="C48" s="56">
        <v>45278</v>
      </c>
      <c r="D48" s="55">
        <v>215</v>
      </c>
      <c r="E48" s="57">
        <v>1</v>
      </c>
      <c r="F48" s="59">
        <v>0.8</v>
      </c>
      <c r="G48" s="57">
        <v>35</v>
      </c>
      <c r="H48" s="57"/>
      <c r="I48" s="57"/>
      <c r="J48" s="57">
        <f>Table5[[#This Row],[العدد]]*Table5[[#This Row],[الفئة]]</f>
        <v>0.8</v>
      </c>
      <c r="K4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35</v>
      </c>
      <c r="L48" s="57">
        <f>Table5[[#This Row],[الاجمالي]]</f>
        <v>35</v>
      </c>
      <c r="M48" s="57">
        <f>Table5[[#This Row],[الاجمالي]]-Table5[[#This Row],[المبلغ المدفوع]]</f>
        <v>0</v>
      </c>
      <c r="N48" s="60"/>
    </row>
    <row r="49" spans="1:14" hidden="1" x14ac:dyDescent="0.3">
      <c r="A49" s="52">
        <f t="shared" si="0"/>
        <v>46</v>
      </c>
      <c r="B49" s="55" t="s">
        <v>31</v>
      </c>
      <c r="C49" s="56">
        <v>45278</v>
      </c>
      <c r="D49" s="55">
        <v>215</v>
      </c>
      <c r="E49" s="57">
        <v>1</v>
      </c>
      <c r="F49" s="59">
        <v>1.6</v>
      </c>
      <c r="G49" s="57">
        <v>35</v>
      </c>
      <c r="H49" s="57"/>
      <c r="I49" s="57"/>
      <c r="J49" s="57">
        <f>Table5[[#This Row],[العدد]]*Table5[[#This Row],[الفئة]]</f>
        <v>1.6</v>
      </c>
      <c r="K4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70</v>
      </c>
      <c r="L49" s="57">
        <f>Table5[[#This Row],[الاجمالي]]</f>
        <v>70</v>
      </c>
      <c r="M49" s="57">
        <f>Table5[[#This Row],[الاجمالي]]-Table5[[#This Row],[المبلغ المدفوع]]</f>
        <v>0</v>
      </c>
      <c r="N49" s="60"/>
    </row>
    <row r="50" spans="1:14" hidden="1" x14ac:dyDescent="0.3">
      <c r="A50" s="52">
        <f t="shared" si="0"/>
        <v>47</v>
      </c>
      <c r="B50" s="55" t="s">
        <v>31</v>
      </c>
      <c r="C50" s="56">
        <v>45278</v>
      </c>
      <c r="D50" s="55">
        <v>215</v>
      </c>
      <c r="E50" s="57">
        <v>1</v>
      </c>
      <c r="F50" s="59">
        <v>5</v>
      </c>
      <c r="G50" s="57">
        <v>38</v>
      </c>
      <c r="H50" s="57"/>
      <c r="I50" s="57"/>
      <c r="J50" s="57">
        <f>Table5[[#This Row],[العدد]]*Table5[[#This Row],[الفئة]]</f>
        <v>5</v>
      </c>
      <c r="K5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</v>
      </c>
      <c r="L50" s="57">
        <f>Table5[[#This Row],[الاجمالي]]</f>
        <v>190</v>
      </c>
      <c r="M50" s="57">
        <f>Table5[[#This Row],[الاجمالي]]-Table5[[#This Row],[المبلغ المدفوع]]</f>
        <v>0</v>
      </c>
      <c r="N50" s="60"/>
    </row>
    <row r="51" spans="1:14" hidden="1" x14ac:dyDescent="0.3">
      <c r="A51" s="52">
        <f t="shared" si="0"/>
        <v>48</v>
      </c>
      <c r="B51" s="55"/>
      <c r="C51" s="56"/>
      <c r="D51" s="55"/>
      <c r="E51" s="57"/>
      <c r="F51" s="59"/>
      <c r="G51" s="57"/>
      <c r="H51" s="57"/>
      <c r="I51" s="57"/>
      <c r="J51" s="57">
        <f>Table5[[#This Row],[العدد]]*Table5[[#This Row],[الفئة]]</f>
        <v>0</v>
      </c>
      <c r="K5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1" s="57"/>
      <c r="M51" s="57">
        <f>Table5[[#This Row],[الاجمالي]]-Table5[[#This Row],[المبلغ المدفوع]]</f>
        <v>0</v>
      </c>
      <c r="N51" s="60"/>
    </row>
    <row r="52" spans="1:14" hidden="1" x14ac:dyDescent="0.3">
      <c r="A52" s="52">
        <f t="shared" si="0"/>
        <v>49</v>
      </c>
      <c r="B52" s="56" t="s">
        <v>41</v>
      </c>
      <c r="C52" s="56">
        <v>45281</v>
      </c>
      <c r="D52" s="55">
        <v>216</v>
      </c>
      <c r="E52" s="57">
        <v>15</v>
      </c>
      <c r="F52" s="59">
        <v>5</v>
      </c>
      <c r="G52" s="57">
        <v>40</v>
      </c>
      <c r="H52" s="57"/>
      <c r="I52" s="57"/>
      <c r="J52" s="57">
        <f>Table5[[#This Row],[العدد]]*Table5[[#This Row],[الفئة]]</f>
        <v>75</v>
      </c>
      <c r="K5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</v>
      </c>
      <c r="L52" s="57"/>
      <c r="M52" s="57">
        <f>Table5[[#This Row],[الاجمالي]]-Table5[[#This Row],[المبلغ المدفوع]]</f>
        <v>3000</v>
      </c>
      <c r="N52" s="60"/>
    </row>
    <row r="53" spans="1:14" hidden="1" x14ac:dyDescent="0.3">
      <c r="A53" s="52">
        <f t="shared" si="0"/>
        <v>50</v>
      </c>
      <c r="B53" s="56" t="s">
        <v>41</v>
      </c>
      <c r="C53" s="56">
        <v>45281</v>
      </c>
      <c r="D53" s="55">
        <v>216</v>
      </c>
      <c r="E53" s="57">
        <v>20</v>
      </c>
      <c r="F53" s="59">
        <v>1.6</v>
      </c>
      <c r="G53" s="57">
        <v>38</v>
      </c>
      <c r="H53" s="57"/>
      <c r="I53" s="57"/>
      <c r="J53" s="57">
        <f>Table5[[#This Row],[العدد]]*Table5[[#This Row],[الفئة]]</f>
        <v>32</v>
      </c>
      <c r="K5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53" s="57"/>
      <c r="M53" s="57">
        <f>Table5[[#This Row],[الاجمالي]]-Table5[[#This Row],[المبلغ المدفوع]]</f>
        <v>1520</v>
      </c>
      <c r="N53" s="60"/>
    </row>
    <row r="54" spans="1:14" hidden="1" x14ac:dyDescent="0.3">
      <c r="A54" s="52">
        <f t="shared" si="0"/>
        <v>51</v>
      </c>
      <c r="B54" s="56" t="s">
        <v>41</v>
      </c>
      <c r="C54" s="56">
        <v>45281</v>
      </c>
      <c r="D54" s="55">
        <v>216</v>
      </c>
      <c r="E54" s="57">
        <v>24</v>
      </c>
      <c r="F54" s="59">
        <v>0.8</v>
      </c>
      <c r="G54" s="57">
        <v>38</v>
      </c>
      <c r="H54" s="57"/>
      <c r="I54" s="57"/>
      <c r="J54" s="57">
        <f>Table5[[#This Row],[العدد]]*Table5[[#This Row],[الفئة]]</f>
        <v>19.200000000000003</v>
      </c>
      <c r="K5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912</v>
      </c>
      <c r="L54" s="57"/>
      <c r="M54" s="57">
        <f>Table5[[#This Row],[الاجمالي]]-Table5[[#This Row],[المبلغ المدفوع]]</f>
        <v>912</v>
      </c>
      <c r="N54" s="60"/>
    </row>
    <row r="55" spans="1:14" hidden="1" x14ac:dyDescent="0.3">
      <c r="A55" s="52">
        <f t="shared" si="0"/>
        <v>52</v>
      </c>
      <c r="B55" s="55"/>
      <c r="C55" s="56"/>
      <c r="D55" s="55"/>
      <c r="E55" s="57"/>
      <c r="F55" s="59"/>
      <c r="G55" s="57"/>
      <c r="H55" s="57"/>
      <c r="I55" s="57"/>
      <c r="J55" s="57">
        <f>Table5[[#This Row],[العدد]]*Table5[[#This Row],[الفئة]]</f>
        <v>0</v>
      </c>
      <c r="K5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" s="57"/>
      <c r="M55" s="57">
        <f>Table5[[#This Row],[الاجمالي]]-Table5[[#This Row],[المبلغ المدفوع]]</f>
        <v>0</v>
      </c>
      <c r="N55" s="60"/>
    </row>
    <row r="56" spans="1:14" hidden="1" x14ac:dyDescent="0.3">
      <c r="A56" s="52">
        <f t="shared" si="0"/>
        <v>53</v>
      </c>
      <c r="B56" s="55" t="s">
        <v>42</v>
      </c>
      <c r="C56" s="56">
        <v>45282</v>
      </c>
      <c r="D56" s="55">
        <v>217</v>
      </c>
      <c r="E56" s="57">
        <v>100</v>
      </c>
      <c r="F56" s="59">
        <v>5</v>
      </c>
      <c r="G56" s="57">
        <v>39</v>
      </c>
      <c r="H56" s="57"/>
      <c r="I56" s="57"/>
      <c r="J56" s="57">
        <f>Table5[[#This Row],[العدد]]*Table5[[#This Row],[الفئة]]</f>
        <v>500</v>
      </c>
      <c r="K5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19500</v>
      </c>
      <c r="L56" s="57">
        <f>Table5[[#This Row],[الاجمالي]]</f>
        <v>19500</v>
      </c>
      <c r="M56" s="57">
        <f>Table5[[#This Row],[الاجمالي]]-Table5[[#This Row],[المبلغ المدفوع]]</f>
        <v>0</v>
      </c>
      <c r="N56" s="60"/>
    </row>
    <row r="57" spans="1:14" hidden="1" x14ac:dyDescent="0.3">
      <c r="A57" s="52">
        <f t="shared" si="0"/>
        <v>54</v>
      </c>
      <c r="B57" s="55"/>
      <c r="C57" s="56"/>
      <c r="D57" s="55"/>
      <c r="E57" s="57"/>
      <c r="F57" s="59"/>
      <c r="G57" s="57"/>
      <c r="H57" s="57"/>
      <c r="I57" s="57"/>
      <c r="J57" s="57">
        <f>Table5[[#This Row],[العدد]]*Table5[[#This Row],[الفئة]]</f>
        <v>0</v>
      </c>
      <c r="K5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" s="57"/>
      <c r="M57" s="57">
        <f>Table5[[#This Row],[الاجمالي]]-Table5[[#This Row],[المبلغ المدفوع]]</f>
        <v>0</v>
      </c>
      <c r="N57" s="60"/>
    </row>
    <row r="58" spans="1:14" hidden="1" x14ac:dyDescent="0.3">
      <c r="A58" s="52">
        <f t="shared" si="0"/>
        <v>55</v>
      </c>
      <c r="B58" s="55" t="s">
        <v>43</v>
      </c>
      <c r="C58" s="56">
        <v>45283</v>
      </c>
      <c r="D58" s="55">
        <v>218</v>
      </c>
      <c r="E58" s="57">
        <v>4</v>
      </c>
      <c r="F58" s="59">
        <v>1.6</v>
      </c>
      <c r="G58" s="57">
        <v>40</v>
      </c>
      <c r="H58" s="57"/>
      <c r="I58" s="57"/>
      <c r="J58" s="57">
        <f>Table5[[#This Row],[العدد]]*Table5[[#This Row],[الفئة]]</f>
        <v>6.4</v>
      </c>
      <c r="K5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320</v>
      </c>
      <c r="L58" s="57">
        <v>400</v>
      </c>
      <c r="M58" s="62">
        <f>Table5[[#This Row],[الاجمالي]]-Table5[[#This Row],[المبلغ المدفوع]]</f>
        <v>-80</v>
      </c>
      <c r="N58" s="60"/>
    </row>
    <row r="59" spans="1:14" hidden="1" x14ac:dyDescent="0.3">
      <c r="A59" s="52">
        <f t="shared" si="0"/>
        <v>56</v>
      </c>
      <c r="B59" s="55"/>
      <c r="C59" s="56"/>
      <c r="D59" s="55"/>
      <c r="E59" s="57"/>
      <c r="F59" s="59"/>
      <c r="G59" s="57"/>
      <c r="H59" s="57"/>
      <c r="I59" s="57"/>
      <c r="J59" s="57">
        <f>Table5[[#This Row],[العدد]]*Table5[[#This Row],[الفئة]]</f>
        <v>0</v>
      </c>
      <c r="K5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" s="57"/>
      <c r="M59" s="57">
        <f>Table5[[#This Row],[الاجمالي]]-Table5[[#This Row],[المبلغ المدفوع]]</f>
        <v>0</v>
      </c>
      <c r="N59" s="60"/>
    </row>
    <row r="60" spans="1:14" hidden="1" x14ac:dyDescent="0.3">
      <c r="A60" s="52">
        <f t="shared" si="0"/>
        <v>57</v>
      </c>
      <c r="B60" s="55" t="s">
        <v>44</v>
      </c>
      <c r="C60" s="56">
        <v>45281</v>
      </c>
      <c r="D60" s="55">
        <v>219</v>
      </c>
      <c r="E60" s="57">
        <v>6</v>
      </c>
      <c r="F60" s="59">
        <v>5</v>
      </c>
      <c r="G60" s="57">
        <v>39</v>
      </c>
      <c r="H60" s="57"/>
      <c r="I60" s="57"/>
      <c r="J60" s="57">
        <f>Table5[[#This Row],[العدد]]*Table5[[#This Row],[الفئة]]</f>
        <v>30</v>
      </c>
      <c r="K6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1170</v>
      </c>
      <c r="L60" s="57">
        <f>Table5[[#This Row],[الاجمالي]]</f>
        <v>1170</v>
      </c>
      <c r="M60" s="57">
        <f>Table5[[#This Row],[الاجمالي]]-Table5[[#This Row],[المبلغ المدفوع]]</f>
        <v>0</v>
      </c>
      <c r="N60" s="60"/>
    </row>
    <row r="61" spans="1:14" hidden="1" x14ac:dyDescent="0.3">
      <c r="A61" s="52">
        <f t="shared" si="0"/>
        <v>58</v>
      </c>
      <c r="B61" s="55"/>
      <c r="C61" s="56"/>
      <c r="D61" s="55"/>
      <c r="E61" s="57"/>
      <c r="F61" s="59"/>
      <c r="G61" s="57"/>
      <c r="H61" s="57"/>
      <c r="I61" s="57"/>
      <c r="J61" s="57">
        <f>Table5[[#This Row],[العدد]]*Table5[[#This Row],[الفئة]]</f>
        <v>0</v>
      </c>
      <c r="K6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" s="57"/>
      <c r="M61" s="57">
        <f>Table5[[#This Row],[الاجمالي]]-Table5[[#This Row],[المبلغ المدفوع]]</f>
        <v>0</v>
      </c>
      <c r="N61" s="60"/>
    </row>
    <row r="62" spans="1:14" hidden="1" x14ac:dyDescent="0.3">
      <c r="A62" s="52">
        <f t="shared" si="0"/>
        <v>59</v>
      </c>
      <c r="B62" s="56" t="s">
        <v>45</v>
      </c>
      <c r="C62" s="56">
        <v>45282</v>
      </c>
      <c r="D62" s="55">
        <v>220</v>
      </c>
      <c r="E62" s="57">
        <v>5</v>
      </c>
      <c r="F62" s="59">
        <v>5</v>
      </c>
      <c r="G62" s="57">
        <v>38</v>
      </c>
      <c r="H62" s="57"/>
      <c r="I62" s="57"/>
      <c r="J62" s="57">
        <f>Table5[[#This Row],[العدد]]*Table5[[#This Row],[الفئة]]</f>
        <v>25</v>
      </c>
      <c r="K6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950</v>
      </c>
      <c r="L62" s="57">
        <f>Table5[[#This Row],[الاجمالي]]</f>
        <v>950</v>
      </c>
      <c r="M62" s="57">
        <f>Table5[[#This Row],[الاجمالي]]-Table5[[#This Row],[المبلغ المدفوع]]</f>
        <v>0</v>
      </c>
      <c r="N62" s="60"/>
    </row>
    <row r="63" spans="1:14" hidden="1" x14ac:dyDescent="0.3">
      <c r="A63" s="52">
        <f t="shared" si="0"/>
        <v>60</v>
      </c>
      <c r="B63" s="55"/>
      <c r="C63" s="56"/>
      <c r="D63" s="55"/>
      <c r="E63" s="57"/>
      <c r="F63" s="59"/>
      <c r="G63" s="57"/>
      <c r="H63" s="57"/>
      <c r="I63" s="57"/>
      <c r="J63" s="57">
        <f>Table5[[#This Row],[العدد]]*Table5[[#This Row],[الفئة]]</f>
        <v>0</v>
      </c>
      <c r="K6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3" s="57"/>
      <c r="M63" s="57">
        <f>Table5[[#This Row],[الاجمالي]]-Table5[[#This Row],[المبلغ المدفوع]]</f>
        <v>0</v>
      </c>
      <c r="N63" s="60"/>
    </row>
    <row r="64" spans="1:14" hidden="1" x14ac:dyDescent="0.3">
      <c r="A64" s="52">
        <f t="shared" si="0"/>
        <v>61</v>
      </c>
      <c r="B64" s="55" t="s">
        <v>46</v>
      </c>
      <c r="C64" s="56">
        <v>45283</v>
      </c>
      <c r="D64" s="55">
        <v>221</v>
      </c>
      <c r="E64" s="57">
        <v>2</v>
      </c>
      <c r="F64" s="59">
        <v>5</v>
      </c>
      <c r="G64" s="57">
        <v>40</v>
      </c>
      <c r="H64" s="57"/>
      <c r="I64" s="57"/>
      <c r="J64" s="57">
        <f>Table5[[#This Row],[العدد]]*Table5[[#This Row],[الفئة]]</f>
        <v>10</v>
      </c>
      <c r="K6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64" s="57">
        <v>400</v>
      </c>
      <c r="M64" s="57">
        <f>Table5[[#This Row],[الاجمالي]]-Table5[[#This Row],[المبلغ المدفوع]]</f>
        <v>0</v>
      </c>
      <c r="N64" s="60"/>
    </row>
    <row r="65" spans="1:14" hidden="1" x14ac:dyDescent="0.3">
      <c r="A65" s="52">
        <f t="shared" si="0"/>
        <v>62</v>
      </c>
      <c r="B65" s="55"/>
      <c r="C65" s="56"/>
      <c r="D65" s="55"/>
      <c r="E65" s="57"/>
      <c r="F65" s="59"/>
      <c r="G65" s="57"/>
      <c r="H65" s="57"/>
      <c r="I65" s="57"/>
      <c r="J65" s="57">
        <f>Table5[[#This Row],[العدد]]*Table5[[#This Row],[الفئة]]</f>
        <v>0</v>
      </c>
      <c r="K6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5" s="57"/>
      <c r="M65" s="57">
        <f>Table5[[#This Row],[الاجمالي]]-Table5[[#This Row],[المبلغ المدفوع]]</f>
        <v>0</v>
      </c>
      <c r="N65" s="60"/>
    </row>
    <row r="66" spans="1:14" hidden="1" x14ac:dyDescent="0.3">
      <c r="A66" s="52">
        <f t="shared" si="0"/>
        <v>63</v>
      </c>
      <c r="B66" s="55" t="s">
        <v>47</v>
      </c>
      <c r="C66" s="56">
        <v>45283</v>
      </c>
      <c r="D66" s="55">
        <v>222</v>
      </c>
      <c r="E66" s="57">
        <v>100</v>
      </c>
      <c r="F66" s="59">
        <v>0.8</v>
      </c>
      <c r="G66" s="57">
        <v>37</v>
      </c>
      <c r="H66" s="57"/>
      <c r="I66" s="57"/>
      <c r="J66" s="57">
        <f>Table5[[#This Row],[العدد]]*Table5[[#This Row],[الفئة]]</f>
        <v>80</v>
      </c>
      <c r="K6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3700</v>
      </c>
      <c r="L66" s="57">
        <v>3700</v>
      </c>
      <c r="M66" s="57">
        <f>Table5[[#This Row],[الاجمالي]]-Table5[[#This Row],[المبلغ المدفوع]]</f>
        <v>0</v>
      </c>
      <c r="N66" s="60"/>
    </row>
    <row r="67" spans="1:14" hidden="1" x14ac:dyDescent="0.3">
      <c r="A67" s="52">
        <f t="shared" si="0"/>
        <v>64</v>
      </c>
      <c r="B67" s="55"/>
      <c r="C67" s="56"/>
      <c r="D67" s="55"/>
      <c r="E67" s="57"/>
      <c r="F67" s="59"/>
      <c r="G67" s="57"/>
      <c r="H67" s="57"/>
      <c r="I67" s="57"/>
      <c r="J67" s="57">
        <f>Table5[[#This Row],[العدد]]*Table5[[#This Row],[الفئة]]</f>
        <v>0</v>
      </c>
      <c r="K6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7" s="57"/>
      <c r="M67" s="57">
        <f>Table5[[#This Row],[الاجمالي]]-Table5[[#This Row],[المبلغ المدفوع]]</f>
        <v>0</v>
      </c>
      <c r="N67" s="60"/>
    </row>
    <row r="68" spans="1:14" hidden="1" x14ac:dyDescent="0.3">
      <c r="A68" s="52">
        <f t="shared" si="0"/>
        <v>65</v>
      </c>
      <c r="B68" s="55" t="s">
        <v>48</v>
      </c>
      <c r="C68" s="56">
        <v>45285</v>
      </c>
      <c r="D68" s="55">
        <v>223</v>
      </c>
      <c r="E68" s="57">
        <v>50</v>
      </c>
      <c r="F68" s="59">
        <v>5</v>
      </c>
      <c r="G68" s="57">
        <v>39.5</v>
      </c>
      <c r="H68" s="57"/>
      <c r="I68" s="57"/>
      <c r="J68" s="57">
        <f>Table5[[#This Row],[العدد]]*Table5[[#This Row],[الفئة]]</f>
        <v>250</v>
      </c>
      <c r="K6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9875</v>
      </c>
      <c r="L68" s="57">
        <f>Table5[[#This Row],[الاجمالي]]</f>
        <v>9875</v>
      </c>
      <c r="M68" s="57">
        <f>Table5[[#This Row],[الاجمالي]]-Table5[[#This Row],[المبلغ المدفوع]]</f>
        <v>0</v>
      </c>
      <c r="N68" s="60"/>
    </row>
    <row r="69" spans="1:14" hidden="1" x14ac:dyDescent="0.3">
      <c r="A69" s="52">
        <f t="shared" si="0"/>
        <v>66</v>
      </c>
      <c r="B69" s="55"/>
      <c r="C69" s="56"/>
      <c r="D69" s="55"/>
      <c r="E69" s="57"/>
      <c r="F69" s="59"/>
      <c r="G69" s="57"/>
      <c r="H69" s="57"/>
      <c r="I69" s="57"/>
      <c r="J69" s="57">
        <f>Table5[[#This Row],[العدد]]*Table5[[#This Row],[الفئة]]</f>
        <v>0</v>
      </c>
      <c r="K6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9" s="57"/>
      <c r="M69" s="57">
        <f>Table5[[#This Row],[الاجمالي]]-Table5[[#This Row],[المبلغ المدفوع]]</f>
        <v>0</v>
      </c>
      <c r="N69" s="60"/>
    </row>
    <row r="70" spans="1:14" hidden="1" x14ac:dyDescent="0.3">
      <c r="A70" s="52">
        <f t="shared" si="0"/>
        <v>67</v>
      </c>
      <c r="B70" s="55" t="s">
        <v>49</v>
      </c>
      <c r="C70" s="56">
        <v>45283</v>
      </c>
      <c r="D70" s="55">
        <v>224</v>
      </c>
      <c r="E70" s="57">
        <v>1</v>
      </c>
      <c r="F70" s="59">
        <v>1.6</v>
      </c>
      <c r="G70" s="57"/>
      <c r="H70" s="57"/>
      <c r="I70" s="57"/>
      <c r="J70" s="57">
        <f>Table5[[#This Row],[العدد]]*Table5[[#This Row],[الفئة]]</f>
        <v>1.6</v>
      </c>
      <c r="K7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0" s="57"/>
      <c r="M70" s="57">
        <f>Table5[[#This Row],[الاجمالي]]-Table5[[#This Row],[المبلغ المدفوع]]</f>
        <v>0</v>
      </c>
      <c r="N70" s="60"/>
    </row>
    <row r="71" spans="1:14" hidden="1" x14ac:dyDescent="0.3">
      <c r="A71" s="52">
        <f t="shared" si="0"/>
        <v>68</v>
      </c>
      <c r="B71" s="55" t="s">
        <v>49</v>
      </c>
      <c r="C71" s="56">
        <v>45283</v>
      </c>
      <c r="D71" s="55">
        <v>224</v>
      </c>
      <c r="E71" s="57">
        <v>1</v>
      </c>
      <c r="F71" s="59">
        <v>15</v>
      </c>
      <c r="G71" s="57"/>
      <c r="H71" s="57"/>
      <c r="I71" s="57"/>
      <c r="J71" s="57">
        <f>Table5[[#This Row],[العدد]]*Table5[[#This Row],[الفئة]]</f>
        <v>15</v>
      </c>
      <c r="K7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1" s="57"/>
      <c r="M71" s="57">
        <f>Table5[[#This Row],[الاجمالي]]-Table5[[#This Row],[المبلغ المدفوع]]</f>
        <v>0</v>
      </c>
      <c r="N71" s="60"/>
    </row>
    <row r="72" spans="1:14" hidden="1" x14ac:dyDescent="0.3">
      <c r="A72" s="52">
        <f t="shared" si="0"/>
        <v>69</v>
      </c>
      <c r="B72" s="55"/>
      <c r="C72" s="56"/>
      <c r="D72" s="55"/>
      <c r="E72" s="57"/>
      <c r="F72" s="59"/>
      <c r="G72" s="57"/>
      <c r="H72" s="57"/>
      <c r="I72" s="57"/>
      <c r="J72" s="57">
        <f>Table5[[#This Row],[العدد]]*Table5[[#This Row],[الفئة]]</f>
        <v>0</v>
      </c>
      <c r="K7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2" s="57"/>
      <c r="M72" s="57">
        <f>Table5[[#This Row],[الاجمالي]]-Table5[[#This Row],[المبلغ المدفوع]]</f>
        <v>0</v>
      </c>
      <c r="N72" s="60"/>
    </row>
    <row r="73" spans="1:14" hidden="1" x14ac:dyDescent="0.3">
      <c r="A73" s="52">
        <f t="shared" si="0"/>
        <v>70</v>
      </c>
      <c r="B73" s="55" t="s">
        <v>47</v>
      </c>
      <c r="C73" s="56">
        <v>45287</v>
      </c>
      <c r="D73" s="55">
        <v>225</v>
      </c>
      <c r="E73" s="57">
        <v>2</v>
      </c>
      <c r="F73" s="59">
        <v>5</v>
      </c>
      <c r="G73" s="57">
        <v>40</v>
      </c>
      <c r="H73" s="57"/>
      <c r="I73" s="57"/>
      <c r="J73" s="57">
        <f>Table5[[#This Row],[العدد]]*Table5[[#This Row],[الفئة]]</f>
        <v>10</v>
      </c>
      <c r="K7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73" s="57">
        <v>400</v>
      </c>
      <c r="M73" s="57">
        <f>Table5[[#This Row],[الاجمالي]]-Table5[[#This Row],[المبلغ المدفوع]]</f>
        <v>0</v>
      </c>
      <c r="N73" s="60"/>
    </row>
    <row r="74" spans="1:14" hidden="1" x14ac:dyDescent="0.3">
      <c r="A74" s="52">
        <f t="shared" si="0"/>
        <v>71</v>
      </c>
      <c r="B74" s="55"/>
      <c r="C74" s="56"/>
      <c r="D74" s="55"/>
      <c r="E74" s="57"/>
      <c r="F74" s="59"/>
      <c r="G74" s="57"/>
      <c r="H74" s="57"/>
      <c r="I74" s="57"/>
      <c r="J74" s="57">
        <f>Table5[[#This Row],[العدد]]*Table5[[#This Row],[الفئة]]</f>
        <v>0</v>
      </c>
      <c r="K7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4" s="57"/>
      <c r="M74" s="57">
        <f>Table5[[#This Row],[الاجمالي]]-Table5[[#This Row],[المبلغ المدفوع]]</f>
        <v>0</v>
      </c>
      <c r="N74" s="60"/>
    </row>
    <row r="75" spans="1:14" hidden="1" x14ac:dyDescent="0.3">
      <c r="A75" s="52">
        <f t="shared" si="0"/>
        <v>72</v>
      </c>
      <c r="B75" s="55" t="s">
        <v>50</v>
      </c>
      <c r="C75" s="56">
        <v>45288</v>
      </c>
      <c r="D75" s="55">
        <v>226</v>
      </c>
      <c r="E75" s="57">
        <v>2</v>
      </c>
      <c r="F75" s="59">
        <v>5</v>
      </c>
      <c r="G75" s="57">
        <v>40</v>
      </c>
      <c r="H75" s="57"/>
      <c r="I75" s="57"/>
      <c r="J75" s="57">
        <f>Table5[[#This Row],[العدد]]*Table5[[#This Row],[الفئة]]</f>
        <v>10</v>
      </c>
      <c r="K7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75" s="57">
        <v>400</v>
      </c>
      <c r="M75" s="57">
        <f>Table5[[#This Row],[الاجمالي]]-Table5[[#This Row],[المبلغ المدفوع]]</f>
        <v>0</v>
      </c>
      <c r="N75" s="60"/>
    </row>
    <row r="76" spans="1:14" hidden="1" x14ac:dyDescent="0.3">
      <c r="A76" s="52">
        <f t="shared" si="0"/>
        <v>73</v>
      </c>
      <c r="B76" s="55" t="s">
        <v>50</v>
      </c>
      <c r="C76" s="56">
        <v>45288</v>
      </c>
      <c r="D76" s="55">
        <v>226</v>
      </c>
      <c r="E76" s="57">
        <v>10</v>
      </c>
      <c r="F76" s="59">
        <v>1.6</v>
      </c>
      <c r="G76" s="57">
        <v>38</v>
      </c>
      <c r="H76" s="57"/>
      <c r="I76" s="57"/>
      <c r="J76" s="57">
        <f>Table5[[#This Row],[العدد]]*Table5[[#This Row],[الفئة]]</f>
        <v>16</v>
      </c>
      <c r="K7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76" s="57">
        <v>700</v>
      </c>
      <c r="M76" s="57">
        <f>Table5[[#This Row],[الاجمالي]]-Table5[[#This Row],[المبلغ المدفوع]]</f>
        <v>60</v>
      </c>
      <c r="N76" s="60" t="s">
        <v>51</v>
      </c>
    </row>
    <row r="77" spans="1:14" hidden="1" x14ac:dyDescent="0.3">
      <c r="A77" s="52">
        <f t="shared" si="0"/>
        <v>74</v>
      </c>
      <c r="B77" s="55"/>
      <c r="C77" s="56"/>
      <c r="D77" s="55"/>
      <c r="E77" s="57"/>
      <c r="F77" s="59"/>
      <c r="G77" s="57"/>
      <c r="H77" s="57"/>
      <c r="I77" s="57"/>
      <c r="J77" s="57">
        <f>Table5[[#This Row],[العدد]]*Table5[[#This Row],[الفئة]]</f>
        <v>0</v>
      </c>
      <c r="K7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7" s="57"/>
      <c r="M77" s="57">
        <f>Table5[[#This Row],[الاجمالي]]-Table5[[#This Row],[المبلغ المدفوع]]</f>
        <v>0</v>
      </c>
      <c r="N77" s="60"/>
    </row>
    <row r="78" spans="1:14" hidden="1" x14ac:dyDescent="0.3">
      <c r="A78" s="52">
        <f t="shared" si="0"/>
        <v>75</v>
      </c>
      <c r="B78" s="55" t="s">
        <v>21</v>
      </c>
      <c r="C78" s="56">
        <v>45288</v>
      </c>
      <c r="D78" s="55">
        <v>227</v>
      </c>
      <c r="E78" s="57">
        <v>2</v>
      </c>
      <c r="F78" s="59">
        <v>5</v>
      </c>
      <c r="G78" s="57">
        <v>40</v>
      </c>
      <c r="H78" s="57"/>
      <c r="I78" s="57"/>
      <c r="J78" s="57">
        <f>Table5[[#This Row],[العدد]]*Table5[[#This Row],[الفئة]]</f>
        <v>10</v>
      </c>
      <c r="K7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78" s="57">
        <f>Table5[[#This Row],[الاجمالي]]</f>
        <v>400</v>
      </c>
      <c r="M78" s="57">
        <f>Table5[[#This Row],[الاجمالي]]-Table5[[#This Row],[المبلغ المدفوع]]</f>
        <v>0</v>
      </c>
      <c r="N78" s="60"/>
    </row>
    <row r="79" spans="1:14" hidden="1" x14ac:dyDescent="0.3">
      <c r="A79" s="52">
        <f t="shared" si="0"/>
        <v>76</v>
      </c>
      <c r="B79" s="55"/>
      <c r="C79" s="56"/>
      <c r="D79" s="55"/>
      <c r="E79" s="57"/>
      <c r="F79" s="59"/>
      <c r="G79" s="57"/>
      <c r="H79" s="57"/>
      <c r="I79" s="57"/>
      <c r="J79" s="57">
        <f>Table5[[#This Row],[العدد]]*Table5[[#This Row],[الفئة]]</f>
        <v>0</v>
      </c>
      <c r="K7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79" s="57"/>
      <c r="M79" s="57">
        <f>Table5[[#This Row],[الاجمالي]]-Table5[[#This Row],[المبلغ المدفوع]]</f>
        <v>0</v>
      </c>
      <c r="N79" s="60"/>
    </row>
    <row r="80" spans="1:14" hidden="1" x14ac:dyDescent="0.3">
      <c r="A80" s="52">
        <f t="shared" si="0"/>
        <v>77</v>
      </c>
      <c r="B80" s="55" t="s">
        <v>44</v>
      </c>
      <c r="C80" s="56">
        <v>45289</v>
      </c>
      <c r="D80" s="55">
        <v>228</v>
      </c>
      <c r="E80" s="57">
        <v>1</v>
      </c>
      <c r="F80" s="59">
        <v>1.6</v>
      </c>
      <c r="G80" s="57">
        <v>38</v>
      </c>
      <c r="H80" s="57"/>
      <c r="I80" s="57"/>
      <c r="J80" s="57">
        <f>Table5[[#This Row],[العدد]]*Table5[[#This Row],[الفئة]]</f>
        <v>1.6</v>
      </c>
      <c r="K8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</v>
      </c>
      <c r="L80" s="57">
        <v>76</v>
      </c>
      <c r="M80" s="57">
        <f>Table5[[#This Row],[الاجمالي]]-Table5[[#This Row],[المبلغ المدفوع]]</f>
        <v>0</v>
      </c>
      <c r="N80" s="60" t="s">
        <v>34</v>
      </c>
    </row>
    <row r="81" spans="1:14" hidden="1" x14ac:dyDescent="0.3">
      <c r="A81" s="52">
        <f t="shared" si="0"/>
        <v>78</v>
      </c>
      <c r="B81" s="55"/>
      <c r="C81" s="56"/>
      <c r="D81" s="55"/>
      <c r="E81" s="57"/>
      <c r="F81" s="59"/>
      <c r="G81" s="57"/>
      <c r="H81" s="57"/>
      <c r="I81" s="57"/>
      <c r="J81" s="57">
        <f>Table5[[#This Row],[العدد]]*Table5[[#This Row],[الفئة]]</f>
        <v>0</v>
      </c>
      <c r="K8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81" s="57"/>
      <c r="M81" s="57">
        <f>Table5[[#This Row],[الاجمالي]]-Table5[[#This Row],[المبلغ المدفوع]]</f>
        <v>0</v>
      </c>
      <c r="N81" s="60"/>
    </row>
    <row r="82" spans="1:14" hidden="1" x14ac:dyDescent="0.3">
      <c r="A82" s="52">
        <f t="shared" si="0"/>
        <v>79</v>
      </c>
      <c r="B82" s="55" t="s">
        <v>48</v>
      </c>
      <c r="C82" s="56">
        <v>45290</v>
      </c>
      <c r="D82" s="55">
        <v>229</v>
      </c>
      <c r="E82" s="57">
        <v>160</v>
      </c>
      <c r="F82" s="59">
        <v>5</v>
      </c>
      <c r="G82" s="57">
        <v>40</v>
      </c>
      <c r="H82" s="57"/>
      <c r="I82" s="57"/>
      <c r="J82" s="57">
        <f>Table5[[#This Row],[العدد]]*Table5[[#This Row],[الفئة]]</f>
        <v>800</v>
      </c>
      <c r="K8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32000</v>
      </c>
      <c r="L82" s="57">
        <v>32000</v>
      </c>
      <c r="M82" s="57">
        <f>Table5[[#This Row],[الاجمالي]]-Table5[[#This Row],[المبلغ المدفوع]]</f>
        <v>0</v>
      </c>
      <c r="N82" s="60"/>
    </row>
    <row r="83" spans="1:14" hidden="1" x14ac:dyDescent="0.3">
      <c r="A83" s="52">
        <f t="shared" si="0"/>
        <v>80</v>
      </c>
      <c r="B83" s="55"/>
      <c r="C83" s="56"/>
      <c r="D83" s="55"/>
      <c r="E83" s="57"/>
      <c r="F83" s="59"/>
      <c r="G83" s="57"/>
      <c r="H83" s="57"/>
      <c r="I83" s="57"/>
      <c r="J83" s="57">
        <f>Table5[[#This Row],[العدد]]*Table5[[#This Row],[الفئة]]</f>
        <v>0</v>
      </c>
      <c r="K8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83" s="57"/>
      <c r="M83" s="57">
        <f>Table5[[#This Row],[الاجمالي]]-Table5[[#This Row],[المبلغ المدفوع]]</f>
        <v>0</v>
      </c>
      <c r="N83" s="60"/>
    </row>
    <row r="84" spans="1:14" hidden="1" x14ac:dyDescent="0.3">
      <c r="A84" s="52">
        <f t="shared" si="0"/>
        <v>81</v>
      </c>
      <c r="B84" s="55" t="s">
        <v>41</v>
      </c>
      <c r="C84" s="56">
        <v>45292</v>
      </c>
      <c r="D84" s="55">
        <v>230</v>
      </c>
      <c r="E84" s="57">
        <v>98</v>
      </c>
      <c r="F84" s="59">
        <v>5</v>
      </c>
      <c r="G84" s="57">
        <v>40</v>
      </c>
      <c r="H84" s="57"/>
      <c r="I84" s="57"/>
      <c r="J84" s="57">
        <f>Table5[[#This Row],[العدد]]*Table5[[#This Row],[الفئة]]</f>
        <v>490</v>
      </c>
      <c r="K8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19600</v>
      </c>
      <c r="L84" s="57"/>
      <c r="M84" s="57">
        <f>Table5[[#This Row],[الاجمالي]]-Table5[[#This Row],[المبلغ المدفوع]]</f>
        <v>19600</v>
      </c>
      <c r="N84" s="60"/>
    </row>
    <row r="85" spans="1:14" hidden="1" x14ac:dyDescent="0.3">
      <c r="A85" s="52">
        <f t="shared" si="0"/>
        <v>82</v>
      </c>
      <c r="B85" s="55" t="s">
        <v>41</v>
      </c>
      <c r="C85" s="56">
        <v>45292</v>
      </c>
      <c r="D85" s="55">
        <v>230</v>
      </c>
      <c r="E85" s="57">
        <v>67</v>
      </c>
      <c r="F85" s="59">
        <v>1.6</v>
      </c>
      <c r="G85" s="57">
        <v>38</v>
      </c>
      <c r="H85" s="57"/>
      <c r="I85" s="57"/>
      <c r="J85" s="57">
        <f>Table5[[#This Row],[العدد]]*Table5[[#This Row],[الفئة]]</f>
        <v>107.2</v>
      </c>
      <c r="K8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5092</v>
      </c>
      <c r="L85" s="57"/>
      <c r="M85" s="57">
        <f>Table5[[#This Row],[الاجمالي]]-Table5[[#This Row],[المبلغ المدفوع]]</f>
        <v>5092</v>
      </c>
      <c r="N85" s="60"/>
    </row>
    <row r="86" spans="1:14" hidden="1" x14ac:dyDescent="0.3">
      <c r="A86" s="52">
        <f t="shared" si="0"/>
        <v>83</v>
      </c>
      <c r="B86" s="55" t="s">
        <v>41</v>
      </c>
      <c r="C86" s="56">
        <v>45292</v>
      </c>
      <c r="D86" s="55">
        <v>230</v>
      </c>
      <c r="E86" s="57">
        <v>170</v>
      </c>
      <c r="F86" s="59">
        <v>0.8</v>
      </c>
      <c r="G86" s="57">
        <v>38</v>
      </c>
      <c r="H86" s="57"/>
      <c r="I86" s="57"/>
      <c r="J86" s="57">
        <f>Table5[[#This Row],[العدد]]*Table5[[#This Row],[الفئة]]</f>
        <v>136</v>
      </c>
      <c r="K8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6460</v>
      </c>
      <c r="L86" s="57"/>
      <c r="M86" s="57">
        <f>Table5[[#This Row],[الاجمالي]]-Table5[[#This Row],[المبلغ المدفوع]]</f>
        <v>6460</v>
      </c>
      <c r="N86" s="60"/>
    </row>
    <row r="87" spans="1:14" hidden="1" x14ac:dyDescent="0.3">
      <c r="A87" s="52">
        <f t="shared" si="0"/>
        <v>84</v>
      </c>
      <c r="B87" s="55"/>
      <c r="C87" s="56"/>
      <c r="D87" s="55"/>
      <c r="E87" s="57"/>
      <c r="F87" s="59"/>
      <c r="G87" s="57"/>
      <c r="H87" s="57"/>
      <c r="I87" s="57"/>
      <c r="J87" s="57">
        <f>Table5[[#This Row],[العدد]]*Table5[[#This Row],[الفئة]]</f>
        <v>0</v>
      </c>
      <c r="K8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87" s="57"/>
      <c r="M87" s="57">
        <f>Table5[[#This Row],[الاجمالي]]-Table5[[#This Row],[المبلغ المدفوع]]</f>
        <v>0</v>
      </c>
      <c r="N87" s="60"/>
    </row>
    <row r="88" spans="1:14" hidden="1" x14ac:dyDescent="0.3">
      <c r="A88" s="52">
        <f t="shared" si="0"/>
        <v>85</v>
      </c>
      <c r="B88" s="55" t="s">
        <v>48</v>
      </c>
      <c r="C88" s="56">
        <v>45295</v>
      </c>
      <c r="D88" s="55">
        <v>231</v>
      </c>
      <c r="E88" s="57">
        <v>200</v>
      </c>
      <c r="F88" s="59">
        <v>5</v>
      </c>
      <c r="G88" s="57">
        <v>40</v>
      </c>
      <c r="H88" s="57"/>
      <c r="I88" s="57"/>
      <c r="J88" s="57">
        <f>Table5[[#This Row],[العدد]]*Table5[[#This Row],[الفئة]]</f>
        <v>1000</v>
      </c>
      <c r="K8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88" s="57"/>
      <c r="M88" s="57">
        <f>Table5[[#This Row],[الاجمالي]]-Table5[[#This Row],[المبلغ المدفوع]]</f>
        <v>40000</v>
      </c>
      <c r="N88" s="60"/>
    </row>
    <row r="89" spans="1:14" hidden="1" x14ac:dyDescent="0.3">
      <c r="A89" s="52">
        <f t="shared" si="0"/>
        <v>86</v>
      </c>
      <c r="B89" s="55"/>
      <c r="C89" s="56"/>
      <c r="D89" s="55"/>
      <c r="E89" s="57"/>
      <c r="F89" s="59"/>
      <c r="G89" s="57"/>
      <c r="H89" s="57"/>
      <c r="I89" s="57"/>
      <c r="J89" s="57">
        <f>Table5[[#This Row],[العدد]]*Table5[[#This Row],[الفئة]]</f>
        <v>0</v>
      </c>
      <c r="K8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89" s="57"/>
      <c r="M89" s="57">
        <f>Table5[[#This Row],[الاجمالي]]-Table5[[#This Row],[المبلغ المدفوع]]</f>
        <v>0</v>
      </c>
      <c r="N89" s="60"/>
    </row>
    <row r="90" spans="1:14" hidden="1" x14ac:dyDescent="0.3">
      <c r="A90" s="52">
        <f t="shared" si="0"/>
        <v>87</v>
      </c>
      <c r="B90" s="55" t="s">
        <v>52</v>
      </c>
      <c r="C90" s="56">
        <v>45296</v>
      </c>
      <c r="D90" s="55">
        <v>232</v>
      </c>
      <c r="E90" s="69"/>
      <c r="F90" s="70"/>
      <c r="G90" s="69"/>
      <c r="H90" s="69"/>
      <c r="I90" s="69"/>
      <c r="J90" s="69">
        <f>Table5[[#This Row],[العدد]]*Table5[[#This Row],[الفئة]]</f>
        <v>0</v>
      </c>
      <c r="K90" s="69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90" s="69"/>
      <c r="M90" s="69">
        <f>Table5[[#This Row],[الاجمالي]]-Table5[[#This Row],[المبلغ المدفوع]]</f>
        <v>0</v>
      </c>
      <c r="N90" s="60" t="s">
        <v>68</v>
      </c>
    </row>
    <row r="91" spans="1:14" hidden="1" x14ac:dyDescent="0.3">
      <c r="A91" s="52">
        <f t="shared" si="0"/>
        <v>88</v>
      </c>
      <c r="B91" s="55"/>
      <c r="C91" s="56"/>
      <c r="D91" s="55"/>
      <c r="E91" s="57"/>
      <c r="F91" s="59"/>
      <c r="G91" s="57"/>
      <c r="H91" s="57"/>
      <c r="I91" s="57"/>
      <c r="J91" s="57">
        <f>Table5[[#This Row],[العدد]]*Table5[[#This Row],[الفئة]]</f>
        <v>0</v>
      </c>
      <c r="K9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91" s="57"/>
      <c r="M91" s="57">
        <f>Table5[[#This Row],[الاجمالي]]-Table5[[#This Row],[المبلغ المدفوع]]</f>
        <v>0</v>
      </c>
      <c r="N91" s="60"/>
    </row>
    <row r="92" spans="1:14" hidden="1" x14ac:dyDescent="0.3">
      <c r="A92" s="52">
        <f t="shared" si="0"/>
        <v>89</v>
      </c>
      <c r="B92" s="55" t="s">
        <v>69</v>
      </c>
      <c r="C92" s="56"/>
      <c r="D92" s="55">
        <v>233</v>
      </c>
      <c r="E92" s="57"/>
      <c r="F92" s="59"/>
      <c r="G92" s="57"/>
      <c r="H92" s="57"/>
      <c r="I92" s="57"/>
      <c r="J92" s="57">
        <f>Table5[[#This Row],[العدد]]*Table5[[#This Row],[الفئة]]</f>
        <v>0</v>
      </c>
      <c r="K9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92" s="57"/>
      <c r="M92" s="57">
        <f>Table5[[#This Row],[الاجمالي]]-Table5[[#This Row],[المبلغ المدفوع]]</f>
        <v>0</v>
      </c>
      <c r="N92" s="60"/>
    </row>
    <row r="93" spans="1:14" hidden="1" x14ac:dyDescent="0.3">
      <c r="A93" s="52">
        <f t="shared" si="0"/>
        <v>90</v>
      </c>
      <c r="B93" s="55"/>
      <c r="C93" s="56"/>
      <c r="D93" s="55"/>
      <c r="E93" s="57"/>
      <c r="F93" s="59"/>
      <c r="G93" s="57"/>
      <c r="H93" s="57"/>
      <c r="I93" s="57"/>
      <c r="J93" s="57">
        <f>Table5[[#This Row],[العدد]]*Table5[[#This Row],[الفئة]]</f>
        <v>0</v>
      </c>
      <c r="K9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93" s="57"/>
      <c r="M93" s="57">
        <f>Table5[[#This Row],[الاجمالي]]-Table5[[#This Row],[المبلغ المدفوع]]</f>
        <v>0</v>
      </c>
      <c r="N93" s="60"/>
    </row>
    <row r="94" spans="1:14" hidden="1" x14ac:dyDescent="0.3">
      <c r="A94" s="52">
        <f t="shared" si="0"/>
        <v>91</v>
      </c>
      <c r="B94" s="63" t="s">
        <v>70</v>
      </c>
      <c r="C94" s="56">
        <v>45306</v>
      </c>
      <c r="D94" s="55">
        <v>234</v>
      </c>
      <c r="E94" s="57">
        <v>200</v>
      </c>
      <c r="F94" s="59">
        <v>5</v>
      </c>
      <c r="G94" s="57">
        <v>40</v>
      </c>
      <c r="H94" s="57"/>
      <c r="I94" s="57"/>
      <c r="J94" s="57">
        <f>Table5[[#This Row],[العدد]]*Table5[[#This Row],[الفئة]]</f>
        <v>1000</v>
      </c>
      <c r="K9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94" s="57">
        <f>Table5[[#This Row],[الاجمالي]]</f>
        <v>40000</v>
      </c>
      <c r="M94" s="57">
        <f>Table5[[#This Row],[الاجمالي]]-Table5[[#This Row],[المبلغ المدفوع]]</f>
        <v>0</v>
      </c>
      <c r="N94" s="60"/>
    </row>
    <row r="95" spans="1:14" hidden="1" x14ac:dyDescent="0.3">
      <c r="A95" s="52">
        <f t="shared" si="0"/>
        <v>92</v>
      </c>
      <c r="B95" s="63" t="s">
        <v>70</v>
      </c>
      <c r="C95" s="56">
        <v>45306</v>
      </c>
      <c r="D95" s="55">
        <v>234</v>
      </c>
      <c r="E95" s="57">
        <v>200</v>
      </c>
      <c r="F95" s="59">
        <v>1.6</v>
      </c>
      <c r="G95" s="57">
        <v>38</v>
      </c>
      <c r="H95" s="57"/>
      <c r="I95" s="57"/>
      <c r="J95" s="57">
        <f>Table5[[#This Row],[العدد]]*Table5[[#This Row],[الفئة]]</f>
        <v>320</v>
      </c>
      <c r="K9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15200</v>
      </c>
      <c r="L95" s="57">
        <f>Table5[[#This Row],[الاجمالي]]</f>
        <v>15200</v>
      </c>
      <c r="M95" s="57">
        <f>Table5[[#This Row],[الاجمالي]]-Table5[[#This Row],[المبلغ المدفوع]]</f>
        <v>0</v>
      </c>
      <c r="N95" s="60"/>
    </row>
    <row r="96" spans="1:14" hidden="1" x14ac:dyDescent="0.3">
      <c r="A96" s="52">
        <f t="shared" si="0"/>
        <v>93</v>
      </c>
      <c r="B96" s="63" t="s">
        <v>70</v>
      </c>
      <c r="C96" s="56">
        <v>45306</v>
      </c>
      <c r="D96" s="55">
        <v>234</v>
      </c>
      <c r="E96" s="57">
        <v>1000</v>
      </c>
      <c r="F96" s="59">
        <v>0.8</v>
      </c>
      <c r="G96" s="57">
        <v>38</v>
      </c>
      <c r="H96" s="57"/>
      <c r="I96" s="57"/>
      <c r="J96" s="57">
        <f>Table5[[#This Row],[العدد]]*Table5[[#This Row],[الفئة]]</f>
        <v>800</v>
      </c>
      <c r="K9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38000</v>
      </c>
      <c r="L96" s="57">
        <f>Table5[[#This Row],[الاجمالي]]</f>
        <v>38000</v>
      </c>
      <c r="M96" s="57">
        <f>Table5[[#This Row],[الاجمالي]]-Table5[[#This Row],[المبلغ المدفوع]]</f>
        <v>0</v>
      </c>
      <c r="N96" s="60"/>
    </row>
    <row r="97" spans="1:14" hidden="1" x14ac:dyDescent="0.3">
      <c r="A97" s="52">
        <f t="shared" si="0"/>
        <v>94</v>
      </c>
      <c r="B97" s="63"/>
      <c r="C97" s="56"/>
      <c r="D97" s="55"/>
      <c r="E97" s="57"/>
      <c r="F97" s="59"/>
      <c r="G97" s="57"/>
      <c r="H97" s="57"/>
      <c r="I97" s="57"/>
      <c r="J97" s="57">
        <f>Table5[[#This Row],[العدد]]*Table5[[#This Row],[الفئة]]</f>
        <v>0</v>
      </c>
      <c r="K9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97" s="57"/>
      <c r="M97" s="57">
        <f>Table5[[#This Row],[الاجمالي]]-Table5[[#This Row],[المبلغ المدفوع]]</f>
        <v>0</v>
      </c>
      <c r="N97" s="60"/>
    </row>
    <row r="98" spans="1:14" hidden="1" x14ac:dyDescent="0.3">
      <c r="A98" s="52">
        <f t="shared" si="0"/>
        <v>95</v>
      </c>
      <c r="B98" s="63" t="s">
        <v>41</v>
      </c>
      <c r="C98" s="56">
        <v>45310</v>
      </c>
      <c r="D98" s="55">
        <v>235</v>
      </c>
      <c r="E98" s="57">
        <v>100</v>
      </c>
      <c r="F98" s="59">
        <v>0.8</v>
      </c>
      <c r="G98" s="57">
        <v>38</v>
      </c>
      <c r="H98" s="57"/>
      <c r="I98" s="57"/>
      <c r="J98" s="57">
        <f>Table5[[#This Row],[العدد]]*Table5[[#This Row],[الفئة]]</f>
        <v>80</v>
      </c>
      <c r="K9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98" s="57"/>
      <c r="M98" s="57">
        <f>Table5[[#This Row],[الاجمالي]]-Table5[[#This Row],[المبلغ المدفوع]]</f>
        <v>3800</v>
      </c>
      <c r="N98" s="60"/>
    </row>
    <row r="99" spans="1:14" hidden="1" x14ac:dyDescent="0.3">
      <c r="A99" s="52">
        <f t="shared" si="0"/>
        <v>96</v>
      </c>
      <c r="B99" s="63" t="s">
        <v>41</v>
      </c>
      <c r="C99" s="56">
        <v>45310</v>
      </c>
      <c r="D99" s="55">
        <v>235</v>
      </c>
      <c r="E99" s="57">
        <v>100</v>
      </c>
      <c r="F99" s="59">
        <v>1.6</v>
      </c>
      <c r="G99" s="57">
        <v>38</v>
      </c>
      <c r="H99" s="57"/>
      <c r="I99" s="57"/>
      <c r="J99" s="57">
        <f>Table5[[#This Row],[العدد]]*Table5[[#This Row],[الفئة]]</f>
        <v>160</v>
      </c>
      <c r="K9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99" s="57"/>
      <c r="M99" s="57">
        <f>Table5[[#This Row],[الاجمالي]]-Table5[[#This Row],[المبلغ المدفوع]]</f>
        <v>7600</v>
      </c>
      <c r="N99" s="60"/>
    </row>
    <row r="100" spans="1:14" hidden="1" x14ac:dyDescent="0.3">
      <c r="A100" s="52">
        <f t="shared" si="0"/>
        <v>97</v>
      </c>
      <c r="B100" s="63" t="s">
        <v>41</v>
      </c>
      <c r="C100" s="56">
        <v>45310</v>
      </c>
      <c r="D100" s="55">
        <v>235</v>
      </c>
      <c r="E100" s="57">
        <v>33</v>
      </c>
      <c r="F100" s="59">
        <v>5</v>
      </c>
      <c r="G100" s="57">
        <v>40</v>
      </c>
      <c r="H100" s="57"/>
      <c r="I100" s="57"/>
      <c r="J100" s="57">
        <f>Table5[[#This Row],[العدد]]*Table5[[#This Row],[الفئة]]</f>
        <v>165</v>
      </c>
      <c r="K10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6600</v>
      </c>
      <c r="L100" s="57"/>
      <c r="M100" s="57">
        <f>Table5[[#This Row],[الاجمالي]]-Table5[[#This Row],[المبلغ المدفوع]]</f>
        <v>6600</v>
      </c>
      <c r="N100" s="60"/>
    </row>
    <row r="101" spans="1:14" hidden="1" x14ac:dyDescent="0.3">
      <c r="A101" s="52">
        <f t="shared" si="0"/>
        <v>98</v>
      </c>
      <c r="B101" s="63"/>
      <c r="C101" s="56"/>
      <c r="D101" s="55"/>
      <c r="E101" s="57"/>
      <c r="F101" s="59"/>
      <c r="G101" s="57"/>
      <c r="H101" s="57"/>
      <c r="I101" s="57"/>
      <c r="J101" s="57">
        <f>Table5[[#This Row],[العدد]]*Table5[[#This Row],[الفئة]]</f>
        <v>0</v>
      </c>
      <c r="K10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01" s="57"/>
      <c r="M101" s="57">
        <f>Table5[[#This Row],[الاجمالي]]-Table5[[#This Row],[المبلغ المدفوع]]</f>
        <v>0</v>
      </c>
      <c r="N101" s="60"/>
    </row>
    <row r="102" spans="1:14" hidden="1" x14ac:dyDescent="0.3">
      <c r="A102" s="52">
        <f t="shared" si="0"/>
        <v>99</v>
      </c>
      <c r="B102" s="63" t="s">
        <v>19</v>
      </c>
      <c r="C102" s="56">
        <v>45310</v>
      </c>
      <c r="D102" s="55">
        <v>236</v>
      </c>
      <c r="E102" s="57">
        <v>500</v>
      </c>
      <c r="F102" s="59">
        <v>5</v>
      </c>
      <c r="G102" s="57">
        <v>40</v>
      </c>
      <c r="H102" s="57"/>
      <c r="I102" s="57"/>
      <c r="J102" s="57">
        <f>Table5[[#This Row],[العدد]]*Table5[[#This Row],[الفئة]]</f>
        <v>2500</v>
      </c>
      <c r="K10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100000</v>
      </c>
      <c r="L102" s="57"/>
      <c r="M102" s="57">
        <f>Table5[[#This Row],[الاجمالي]]-Table5[[#This Row],[المبلغ المدفوع]]</f>
        <v>100000</v>
      </c>
      <c r="N102" s="60"/>
    </row>
    <row r="103" spans="1:14" hidden="1" x14ac:dyDescent="0.3">
      <c r="A103" s="52">
        <f t="shared" si="0"/>
        <v>100</v>
      </c>
      <c r="B103" s="63"/>
      <c r="C103" s="56"/>
      <c r="D103" s="55"/>
      <c r="E103" s="57"/>
      <c r="F103" s="59"/>
      <c r="G103" s="57"/>
      <c r="H103" s="57"/>
      <c r="I103" s="57"/>
      <c r="J103" s="57">
        <f>Table5[[#This Row],[العدد]]*Table5[[#This Row],[الفئة]]</f>
        <v>0</v>
      </c>
      <c r="K10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03" s="57"/>
      <c r="M103" s="57">
        <f>Table5[[#This Row],[الاجمالي]]-Table5[[#This Row],[المبلغ المدفوع]]</f>
        <v>0</v>
      </c>
      <c r="N103" s="60"/>
    </row>
    <row r="104" spans="1:14" hidden="1" x14ac:dyDescent="0.3">
      <c r="A104" s="52">
        <f t="shared" si="0"/>
        <v>101</v>
      </c>
      <c r="B104" s="63" t="s">
        <v>71</v>
      </c>
      <c r="C104" s="56">
        <v>45292</v>
      </c>
      <c r="D104" s="55">
        <v>237</v>
      </c>
      <c r="E104" s="57">
        <v>3</v>
      </c>
      <c r="F104" s="59">
        <v>5</v>
      </c>
      <c r="G104" s="57">
        <v>40</v>
      </c>
      <c r="H104" s="57"/>
      <c r="I104" s="57"/>
      <c r="J104" s="57">
        <f>Table5[[#This Row],[العدد]]*Table5[[#This Row],[الفئة]]</f>
        <v>15</v>
      </c>
      <c r="K10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104" s="57"/>
      <c r="M104" s="57">
        <f>Table5[[#This Row],[الاجمالي]]-Table5[[#This Row],[المبلغ المدفوع]]</f>
        <v>600</v>
      </c>
      <c r="N104" s="60"/>
    </row>
    <row r="105" spans="1:14" hidden="1" x14ac:dyDescent="0.3">
      <c r="A105" s="52">
        <f t="shared" si="0"/>
        <v>102</v>
      </c>
      <c r="B105" s="63"/>
      <c r="C105" s="56"/>
      <c r="D105" s="55"/>
      <c r="E105" s="57"/>
      <c r="F105" s="59"/>
      <c r="G105" s="57"/>
      <c r="H105" s="57"/>
      <c r="I105" s="57"/>
      <c r="J105" s="57">
        <f>Table5[[#This Row],[العدد]]*Table5[[#This Row],[الفئة]]</f>
        <v>0</v>
      </c>
      <c r="K10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05" s="57"/>
      <c r="M105" s="57">
        <f>Table5[[#This Row],[الاجمالي]]-Table5[[#This Row],[المبلغ المدفوع]]</f>
        <v>0</v>
      </c>
      <c r="N105" s="60"/>
    </row>
    <row r="106" spans="1:14" hidden="1" x14ac:dyDescent="0.3">
      <c r="A106" s="52">
        <f t="shared" si="0"/>
        <v>103</v>
      </c>
      <c r="B106" s="63" t="s">
        <v>72</v>
      </c>
      <c r="C106" s="56">
        <v>45292</v>
      </c>
      <c r="D106" s="55">
        <v>238</v>
      </c>
      <c r="E106" s="57">
        <v>7</v>
      </c>
      <c r="F106" s="59">
        <v>5</v>
      </c>
      <c r="G106" s="57">
        <v>40</v>
      </c>
      <c r="H106" s="57"/>
      <c r="I106" s="57"/>
      <c r="J106" s="57">
        <f>Table5[[#This Row],[العدد]]*Table5[[#This Row],[الفئة]]</f>
        <v>35</v>
      </c>
      <c r="K10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1400</v>
      </c>
      <c r="L106" s="57"/>
      <c r="M106" s="57">
        <f>Table5[[#This Row],[الاجمالي]]-Table5[[#This Row],[المبلغ المدفوع]]</f>
        <v>1400</v>
      </c>
      <c r="N106" s="60" t="s">
        <v>34</v>
      </c>
    </row>
    <row r="107" spans="1:14" hidden="1" x14ac:dyDescent="0.3">
      <c r="A107" s="52">
        <f t="shared" si="0"/>
        <v>104</v>
      </c>
      <c r="B107" s="63"/>
      <c r="C107" s="56"/>
      <c r="D107" s="55"/>
      <c r="E107" s="57"/>
      <c r="F107" s="59"/>
      <c r="G107" s="57"/>
      <c r="H107" s="57"/>
      <c r="I107" s="57"/>
      <c r="J107" s="57">
        <f>Table5[[#This Row],[العدد]]*Table5[[#This Row],[الفئة]]</f>
        <v>0</v>
      </c>
      <c r="K10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07" s="57"/>
      <c r="M107" s="57">
        <f>Table5[[#This Row],[الاجمالي]]-Table5[[#This Row],[المبلغ المدفوع]]</f>
        <v>0</v>
      </c>
      <c r="N107" s="60"/>
    </row>
    <row r="108" spans="1:14" hidden="1" x14ac:dyDescent="0.3">
      <c r="A108" s="52">
        <f t="shared" si="0"/>
        <v>105</v>
      </c>
      <c r="B108" s="63" t="s">
        <v>44</v>
      </c>
      <c r="C108" s="56">
        <v>45292</v>
      </c>
      <c r="D108" s="55">
        <v>239</v>
      </c>
      <c r="E108" s="57">
        <v>6</v>
      </c>
      <c r="F108" s="59">
        <v>5</v>
      </c>
      <c r="G108" s="57">
        <v>40</v>
      </c>
      <c r="H108" s="57"/>
      <c r="I108" s="57"/>
      <c r="J108" s="57">
        <f>Table5[[#This Row],[العدد]]*Table5[[#This Row],[الفئة]]</f>
        <v>30</v>
      </c>
      <c r="K10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1200</v>
      </c>
      <c r="L108" s="57"/>
      <c r="M108" s="57">
        <f>Table5[[#This Row],[الاجمالي]]-Table5[[#This Row],[المبلغ المدفوع]]</f>
        <v>1200</v>
      </c>
      <c r="N108" s="60" t="s">
        <v>34</v>
      </c>
    </row>
    <row r="109" spans="1:14" hidden="1" x14ac:dyDescent="0.3">
      <c r="A109" s="52">
        <f t="shared" si="0"/>
        <v>106</v>
      </c>
      <c r="B109" s="63" t="s">
        <v>44</v>
      </c>
      <c r="C109" s="56">
        <v>45292</v>
      </c>
      <c r="D109" s="55">
        <v>239</v>
      </c>
      <c r="E109" s="57">
        <v>3</v>
      </c>
      <c r="F109" s="59">
        <v>5</v>
      </c>
      <c r="G109" s="57">
        <v>40</v>
      </c>
      <c r="H109" s="57"/>
      <c r="I109" s="57"/>
      <c r="J109" s="57">
        <f>Table5[[#This Row],[العدد]]*Table5[[#This Row],[الفئة]]</f>
        <v>15</v>
      </c>
      <c r="K10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109" s="57"/>
      <c r="M109" s="57">
        <f>Table5[[#This Row],[الاجمالي]]-Table5[[#This Row],[المبلغ المدفوع]]</f>
        <v>600</v>
      </c>
      <c r="N109" s="60" t="s">
        <v>34</v>
      </c>
    </row>
    <row r="110" spans="1:14" hidden="1" x14ac:dyDescent="0.3">
      <c r="A110" s="52">
        <f t="shared" si="0"/>
        <v>107</v>
      </c>
      <c r="B110" s="63"/>
      <c r="C110" s="56"/>
      <c r="D110" s="55"/>
      <c r="E110" s="57"/>
      <c r="F110" s="59"/>
      <c r="G110" s="57"/>
      <c r="H110" s="57"/>
      <c r="I110" s="57"/>
      <c r="J110" s="57">
        <f>Table5[[#This Row],[العدد]]*Table5[[#This Row],[الفئة]]</f>
        <v>0</v>
      </c>
      <c r="K11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10" s="57"/>
      <c r="M110" s="57">
        <f>Table5[[#This Row],[الاجمالي]]-Table5[[#This Row],[المبلغ المدفوع]]</f>
        <v>0</v>
      </c>
      <c r="N110" s="60"/>
    </row>
    <row r="111" spans="1:14" hidden="1" x14ac:dyDescent="0.3">
      <c r="A111" s="52">
        <f t="shared" si="0"/>
        <v>108</v>
      </c>
      <c r="B111" s="63" t="s">
        <v>49</v>
      </c>
      <c r="C111" s="56">
        <v>45292</v>
      </c>
      <c r="D111" s="55">
        <v>240</v>
      </c>
      <c r="E111" s="57">
        <v>1</v>
      </c>
      <c r="F111" s="59">
        <v>3</v>
      </c>
      <c r="G111" s="57">
        <v>40</v>
      </c>
      <c r="H111" s="57"/>
      <c r="I111" s="57"/>
      <c r="J111" s="57">
        <f>Table5[[#This Row],[العدد]]*Table5[[#This Row],[الفئة]]</f>
        <v>3</v>
      </c>
      <c r="K11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</v>
      </c>
      <c r="L111" s="57"/>
      <c r="M111" s="57">
        <f>Table5[[#This Row],[الاجمالي]]-Table5[[#This Row],[المبلغ المدفوع]]</f>
        <v>120</v>
      </c>
      <c r="N111" s="60"/>
    </row>
    <row r="112" spans="1:14" hidden="1" x14ac:dyDescent="0.3">
      <c r="A112" s="52">
        <f t="shared" si="0"/>
        <v>109</v>
      </c>
      <c r="B112" s="63"/>
      <c r="C112" s="56"/>
      <c r="D112" s="55"/>
      <c r="E112" s="57"/>
      <c r="F112" s="59"/>
      <c r="G112" s="57"/>
      <c r="H112" s="57"/>
      <c r="I112" s="57"/>
      <c r="J112" s="57">
        <f>Table5[[#This Row],[العدد]]*Table5[[#This Row],[الفئة]]</f>
        <v>0</v>
      </c>
      <c r="K11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12" s="57"/>
      <c r="M112" s="57">
        <f>Table5[[#This Row],[الاجمالي]]-Table5[[#This Row],[المبلغ المدفوع]]</f>
        <v>0</v>
      </c>
      <c r="N112" s="60"/>
    </row>
    <row r="113" spans="1:14" hidden="1" x14ac:dyDescent="0.3">
      <c r="A113" s="52">
        <f t="shared" si="0"/>
        <v>110</v>
      </c>
      <c r="B113" s="63" t="s">
        <v>73</v>
      </c>
      <c r="C113" s="56">
        <v>45292</v>
      </c>
      <c r="D113" s="55">
        <v>241</v>
      </c>
      <c r="E113" s="57">
        <v>1</v>
      </c>
      <c r="F113" s="59">
        <v>5</v>
      </c>
      <c r="G113" s="57">
        <v>40</v>
      </c>
      <c r="H113" s="57"/>
      <c r="I113" s="57"/>
      <c r="J113" s="57">
        <f>Table5[[#This Row],[العدد]]*Table5[[#This Row],[الفئة]]</f>
        <v>5</v>
      </c>
      <c r="K11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113" s="57"/>
      <c r="M113" s="57">
        <f>Table5[[#This Row],[الاجمالي]]-Table5[[#This Row],[المبلغ المدفوع]]</f>
        <v>200</v>
      </c>
      <c r="N113" s="60"/>
    </row>
    <row r="114" spans="1:14" hidden="1" x14ac:dyDescent="0.3">
      <c r="A114" s="52">
        <f t="shared" si="0"/>
        <v>111</v>
      </c>
      <c r="B114" s="63"/>
      <c r="C114" s="56"/>
      <c r="D114" s="55"/>
      <c r="E114" s="57"/>
      <c r="F114" s="59"/>
      <c r="G114" s="57"/>
      <c r="H114" s="57"/>
      <c r="I114" s="57"/>
      <c r="J114" s="57">
        <f>Table5[[#This Row],[العدد]]*Table5[[#This Row],[الفئة]]</f>
        <v>0</v>
      </c>
      <c r="K11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14" s="57"/>
      <c r="M114" s="57">
        <f>Table5[[#This Row],[الاجمالي]]-Table5[[#This Row],[المبلغ المدفوع]]</f>
        <v>0</v>
      </c>
      <c r="N114" s="60"/>
    </row>
    <row r="115" spans="1:14" hidden="1" x14ac:dyDescent="0.3">
      <c r="A115" s="52">
        <f t="shared" si="0"/>
        <v>112</v>
      </c>
      <c r="B115" s="63" t="s">
        <v>74</v>
      </c>
      <c r="C115" s="56">
        <v>45293</v>
      </c>
      <c r="D115" s="55">
        <v>242</v>
      </c>
      <c r="E115" s="57">
        <v>8</v>
      </c>
      <c r="F115" s="59">
        <v>5</v>
      </c>
      <c r="G115" s="57">
        <v>40</v>
      </c>
      <c r="H115" s="57"/>
      <c r="I115" s="57"/>
      <c r="J115" s="57">
        <f>Table5[[#This Row],[العدد]]*Table5[[#This Row],[الفئة]]</f>
        <v>40</v>
      </c>
      <c r="K11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1600</v>
      </c>
      <c r="L115" s="57"/>
      <c r="M115" s="57">
        <f>Table5[[#This Row],[الاجمالي]]-Table5[[#This Row],[المبلغ المدفوع]]</f>
        <v>1600</v>
      </c>
      <c r="N115" s="60"/>
    </row>
    <row r="116" spans="1:14" hidden="1" x14ac:dyDescent="0.3">
      <c r="A116" s="52">
        <f t="shared" si="0"/>
        <v>113</v>
      </c>
      <c r="B116" s="63" t="s">
        <v>74</v>
      </c>
      <c r="C116" s="56">
        <v>45293</v>
      </c>
      <c r="D116" s="55">
        <v>242</v>
      </c>
      <c r="E116" s="57">
        <v>5</v>
      </c>
      <c r="F116" s="59">
        <v>2</v>
      </c>
      <c r="G116" s="57">
        <v>40</v>
      </c>
      <c r="H116" s="57"/>
      <c r="I116" s="57"/>
      <c r="J116" s="57">
        <f>Table5[[#This Row],[العدد]]*Table5[[#This Row],[الفئة]]</f>
        <v>10</v>
      </c>
      <c r="K11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116" s="57"/>
      <c r="M116" s="57">
        <f>Table5[[#This Row],[الاجمالي]]-Table5[[#This Row],[المبلغ المدفوع]]</f>
        <v>400</v>
      </c>
      <c r="N116" s="60"/>
    </row>
    <row r="117" spans="1:14" hidden="1" x14ac:dyDescent="0.3">
      <c r="A117" s="52">
        <f t="shared" si="0"/>
        <v>114</v>
      </c>
      <c r="B117" s="63" t="s">
        <v>74</v>
      </c>
      <c r="C117" s="56">
        <v>45293</v>
      </c>
      <c r="D117" s="55">
        <v>242</v>
      </c>
      <c r="E117" s="57">
        <v>1</v>
      </c>
      <c r="F117" s="59">
        <v>5</v>
      </c>
      <c r="G117" s="57">
        <v>40</v>
      </c>
      <c r="H117" s="57"/>
      <c r="I117" s="57"/>
      <c r="J117" s="57">
        <f>Table5[[#This Row],[العدد]]*Table5[[#This Row],[الفئة]]</f>
        <v>5</v>
      </c>
      <c r="K11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117" s="57"/>
      <c r="M117" s="57">
        <f>Table5[[#This Row],[الاجمالي]]-Table5[[#This Row],[المبلغ المدفوع]]</f>
        <v>200</v>
      </c>
      <c r="N117" s="60"/>
    </row>
    <row r="118" spans="1:14" hidden="1" x14ac:dyDescent="0.3">
      <c r="A118" s="52">
        <f t="shared" si="0"/>
        <v>115</v>
      </c>
      <c r="B118" s="63"/>
      <c r="C118" s="56"/>
      <c r="D118" s="55"/>
      <c r="E118" s="57"/>
      <c r="F118" s="59"/>
      <c r="G118" s="57"/>
      <c r="H118" s="57"/>
      <c r="I118" s="57"/>
      <c r="J118" s="57">
        <f>Table5[[#This Row],[العدد]]*Table5[[#This Row],[الفئة]]</f>
        <v>0</v>
      </c>
      <c r="K11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18" s="57"/>
      <c r="M118" s="57">
        <f>Table5[[#This Row],[الاجمالي]]-Table5[[#This Row],[المبلغ المدفوع]]</f>
        <v>0</v>
      </c>
      <c r="N118" s="60"/>
    </row>
    <row r="119" spans="1:14" hidden="1" x14ac:dyDescent="0.3">
      <c r="A119" s="52">
        <f t="shared" si="0"/>
        <v>116</v>
      </c>
      <c r="B119" s="63" t="s">
        <v>31</v>
      </c>
      <c r="C119" s="56">
        <v>45294</v>
      </c>
      <c r="D119" s="55">
        <v>243</v>
      </c>
      <c r="E119" s="57">
        <v>1</v>
      </c>
      <c r="F119" s="59">
        <v>1.25</v>
      </c>
      <c r="G119" s="57">
        <v>40</v>
      </c>
      <c r="H119" s="57"/>
      <c r="I119" s="57"/>
      <c r="J119" s="57">
        <f>Table5[[#This Row],[العدد]]*Table5[[#This Row],[الفئة]]</f>
        <v>1.25</v>
      </c>
      <c r="K11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50</v>
      </c>
      <c r="L119" s="57">
        <v>50</v>
      </c>
      <c r="M119" s="57">
        <f>Table5[[#This Row],[الاجمالي]]-Table5[[#This Row],[المبلغ المدفوع]]</f>
        <v>0</v>
      </c>
      <c r="N119" s="60"/>
    </row>
    <row r="120" spans="1:14" hidden="1" x14ac:dyDescent="0.3">
      <c r="A120" s="52">
        <f t="shared" si="0"/>
        <v>117</v>
      </c>
      <c r="B120" s="63"/>
      <c r="C120" s="56"/>
      <c r="D120" s="55"/>
      <c r="E120" s="57"/>
      <c r="F120" s="59"/>
      <c r="G120" s="57"/>
      <c r="H120" s="57"/>
      <c r="I120" s="57"/>
      <c r="J120" s="57">
        <f>Table5[[#This Row],[العدد]]*Table5[[#This Row],[الفئة]]</f>
        <v>0</v>
      </c>
      <c r="K12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0" s="57"/>
      <c r="M120" s="57">
        <f>Table5[[#This Row],[الاجمالي]]-Table5[[#This Row],[المبلغ المدفوع]]</f>
        <v>0</v>
      </c>
      <c r="N120" s="60"/>
    </row>
    <row r="121" spans="1:14" hidden="1" x14ac:dyDescent="0.3">
      <c r="A121" s="52">
        <f t="shared" si="0"/>
        <v>118</v>
      </c>
      <c r="B121" s="63" t="s">
        <v>75</v>
      </c>
      <c r="C121" s="56">
        <v>45298</v>
      </c>
      <c r="D121" s="55">
        <v>244</v>
      </c>
      <c r="E121" s="57">
        <v>1</v>
      </c>
      <c r="F121" s="59">
        <v>14</v>
      </c>
      <c r="G121" s="57">
        <v>40</v>
      </c>
      <c r="H121" s="57"/>
      <c r="I121" s="57"/>
      <c r="J121" s="57">
        <f>Table5[[#This Row],[العدد]]*Table5[[#This Row],[الفئة]]</f>
        <v>14</v>
      </c>
      <c r="K12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560</v>
      </c>
      <c r="L121" s="57"/>
      <c r="M121" s="57">
        <f>Table5[[#This Row],[الاجمالي]]-Table5[[#This Row],[المبلغ المدفوع]]</f>
        <v>560</v>
      </c>
      <c r="N121" s="60"/>
    </row>
    <row r="122" spans="1:14" hidden="1" x14ac:dyDescent="0.3">
      <c r="A122" s="52">
        <f t="shared" si="0"/>
        <v>119</v>
      </c>
      <c r="B122" s="63"/>
      <c r="C122" s="56"/>
      <c r="D122" s="55"/>
      <c r="E122" s="57"/>
      <c r="F122" s="59"/>
      <c r="G122" s="57"/>
      <c r="H122" s="57"/>
      <c r="I122" s="57"/>
      <c r="J122" s="57">
        <f>Table5[[#This Row],[العدد]]*Table5[[#This Row],[الفئة]]</f>
        <v>0</v>
      </c>
      <c r="K12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2" s="57"/>
      <c r="M122" s="57">
        <f>Table5[[#This Row],[الاجمالي]]-Table5[[#This Row],[المبلغ المدفوع]]</f>
        <v>0</v>
      </c>
      <c r="N122" s="60"/>
    </row>
    <row r="123" spans="1:14" hidden="1" x14ac:dyDescent="0.3">
      <c r="A123" s="52">
        <f t="shared" si="0"/>
        <v>120</v>
      </c>
      <c r="B123" s="63" t="s">
        <v>76</v>
      </c>
      <c r="C123" s="56">
        <v>45298</v>
      </c>
      <c r="D123" s="55">
        <v>245</v>
      </c>
      <c r="E123" s="57">
        <v>1</v>
      </c>
      <c r="F123" s="59">
        <v>3</v>
      </c>
      <c r="G123" s="57">
        <v>40</v>
      </c>
      <c r="H123" s="57"/>
      <c r="I123" s="57"/>
      <c r="J123" s="57">
        <f>Table5[[#This Row],[العدد]]*Table5[[#This Row],[الفئة]]</f>
        <v>3</v>
      </c>
      <c r="K12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</v>
      </c>
      <c r="L123" s="57"/>
      <c r="M123" s="57">
        <f>Table5[[#This Row],[الاجمالي]]-Table5[[#This Row],[المبلغ المدفوع]]</f>
        <v>120</v>
      </c>
      <c r="N123" s="60"/>
    </row>
    <row r="124" spans="1:14" hidden="1" x14ac:dyDescent="0.3">
      <c r="A124" s="52">
        <f t="shared" si="0"/>
        <v>121</v>
      </c>
      <c r="B124" s="63"/>
      <c r="C124" s="56"/>
      <c r="D124" s="55"/>
      <c r="E124" s="57"/>
      <c r="F124" s="59"/>
      <c r="G124" s="57"/>
      <c r="H124" s="57"/>
      <c r="I124" s="57"/>
      <c r="J124" s="57">
        <f>Table5[[#This Row],[العدد]]*Table5[[#This Row],[الفئة]]</f>
        <v>0</v>
      </c>
      <c r="K12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4" s="57"/>
      <c r="M124" s="57">
        <f>Table5[[#This Row],[الاجمالي]]-Table5[[#This Row],[المبلغ المدفوع]]</f>
        <v>0</v>
      </c>
      <c r="N124" s="60"/>
    </row>
    <row r="125" spans="1:14" hidden="1" x14ac:dyDescent="0.3">
      <c r="A125" s="52">
        <f t="shared" si="0"/>
        <v>122</v>
      </c>
      <c r="B125" s="63" t="s">
        <v>22</v>
      </c>
      <c r="C125" s="56">
        <v>45299</v>
      </c>
      <c r="D125" s="55">
        <v>246</v>
      </c>
      <c r="E125" s="57">
        <v>4</v>
      </c>
      <c r="F125" s="59">
        <v>5</v>
      </c>
      <c r="G125" s="57">
        <v>40</v>
      </c>
      <c r="H125" s="57"/>
      <c r="I125" s="57"/>
      <c r="J125" s="57">
        <f>Table5[[#This Row],[العدد]]*Table5[[#This Row],[الفئة]]</f>
        <v>20</v>
      </c>
      <c r="K12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</v>
      </c>
      <c r="L125" s="57">
        <v>800</v>
      </c>
      <c r="M125" s="57">
        <f>Table5[[#This Row],[الاجمالي]]-Table5[[#This Row],[المبلغ المدفوع]]</f>
        <v>0</v>
      </c>
      <c r="N125" s="60"/>
    </row>
    <row r="126" spans="1:14" hidden="1" x14ac:dyDescent="0.3">
      <c r="A126" s="52">
        <f t="shared" si="0"/>
        <v>123</v>
      </c>
      <c r="B126" s="63"/>
      <c r="C126" s="56"/>
      <c r="D126" s="55"/>
      <c r="E126" s="57"/>
      <c r="F126" s="59"/>
      <c r="G126" s="57"/>
      <c r="H126" s="57"/>
      <c r="I126" s="57"/>
      <c r="J126" s="57">
        <f>Table5[[#This Row],[العدد]]*Table5[[#This Row],[الفئة]]</f>
        <v>0</v>
      </c>
      <c r="K12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6" s="57"/>
      <c r="M126" s="57">
        <f>Table5[[#This Row],[الاجمالي]]-Table5[[#This Row],[المبلغ المدفوع]]</f>
        <v>0</v>
      </c>
      <c r="N126" s="60"/>
    </row>
    <row r="127" spans="1:14" hidden="1" x14ac:dyDescent="0.3">
      <c r="A127" s="52">
        <f t="shared" si="0"/>
        <v>124</v>
      </c>
      <c r="B127" s="63" t="s">
        <v>21</v>
      </c>
      <c r="C127" s="56">
        <v>45299</v>
      </c>
      <c r="D127" s="55">
        <v>247</v>
      </c>
      <c r="E127" s="57">
        <v>1</v>
      </c>
      <c r="F127" s="59">
        <v>5</v>
      </c>
      <c r="G127" s="57">
        <v>40</v>
      </c>
      <c r="H127" s="57"/>
      <c r="I127" s="57"/>
      <c r="J127" s="57">
        <f>Table5[[#This Row],[العدد]]*Table5[[#This Row],[الفئة]]</f>
        <v>5</v>
      </c>
      <c r="K12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127" s="57"/>
      <c r="M127" s="57">
        <f>Table5[[#This Row],[الاجمالي]]-Table5[[#This Row],[المبلغ المدفوع]]</f>
        <v>200</v>
      </c>
      <c r="N127" s="60"/>
    </row>
    <row r="128" spans="1:14" hidden="1" x14ac:dyDescent="0.3">
      <c r="A128" s="52">
        <f t="shared" si="0"/>
        <v>125</v>
      </c>
      <c r="B128" s="63"/>
      <c r="C128" s="56"/>
      <c r="D128" s="55"/>
      <c r="E128" s="57"/>
      <c r="F128" s="59"/>
      <c r="G128" s="57"/>
      <c r="H128" s="57"/>
      <c r="I128" s="57"/>
      <c r="J128" s="57">
        <f>Table5[[#This Row],[العدد]]*Table5[[#This Row],[الفئة]]</f>
        <v>0</v>
      </c>
      <c r="K12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28" s="57"/>
      <c r="M128" s="57">
        <f>Table5[[#This Row],[الاجمالي]]-Table5[[#This Row],[المبلغ المدفوع]]</f>
        <v>0</v>
      </c>
      <c r="N128" s="60"/>
    </row>
    <row r="129" spans="1:14" hidden="1" x14ac:dyDescent="0.3">
      <c r="A129" s="52">
        <f t="shared" si="0"/>
        <v>126</v>
      </c>
      <c r="B129" s="63" t="s">
        <v>45</v>
      </c>
      <c r="C129" s="56">
        <v>45303</v>
      </c>
      <c r="D129" s="55">
        <v>248</v>
      </c>
      <c r="E129" s="57">
        <v>15</v>
      </c>
      <c r="F129" s="59">
        <v>5</v>
      </c>
      <c r="G129" s="57">
        <v>39</v>
      </c>
      <c r="H129" s="57"/>
      <c r="I129" s="57"/>
      <c r="J129" s="57">
        <f>Table5[[#This Row],[العدد]]*Table5[[#This Row],[الفئة]]</f>
        <v>75</v>
      </c>
      <c r="K12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2925</v>
      </c>
      <c r="L129" s="57">
        <v>2925</v>
      </c>
      <c r="M129" s="57">
        <f>Table5[[#This Row],[الاجمالي]]-Table5[[#This Row],[المبلغ المدفوع]]</f>
        <v>0</v>
      </c>
      <c r="N129" s="60"/>
    </row>
    <row r="130" spans="1:14" hidden="1" x14ac:dyDescent="0.3">
      <c r="A130" s="52">
        <f t="shared" si="0"/>
        <v>127</v>
      </c>
      <c r="B130" s="63"/>
      <c r="C130" s="56"/>
      <c r="D130" s="55"/>
      <c r="E130" s="57"/>
      <c r="F130" s="59"/>
      <c r="G130" s="57"/>
      <c r="H130" s="57"/>
      <c r="I130" s="57"/>
      <c r="J130" s="57">
        <f>Table5[[#This Row],[العدد]]*Table5[[#This Row],[الفئة]]</f>
        <v>0</v>
      </c>
      <c r="K13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30" s="57"/>
      <c r="M130" s="57">
        <f>Table5[[#This Row],[الاجمالي]]-Table5[[#This Row],[المبلغ المدفوع]]</f>
        <v>0</v>
      </c>
      <c r="N130" s="60"/>
    </row>
    <row r="131" spans="1:14" hidden="1" x14ac:dyDescent="0.3">
      <c r="A131" s="52">
        <f t="shared" si="0"/>
        <v>128</v>
      </c>
      <c r="B131" s="63" t="s">
        <v>77</v>
      </c>
      <c r="C131" s="56">
        <v>45303</v>
      </c>
      <c r="D131" s="55">
        <v>249</v>
      </c>
      <c r="E131" s="57">
        <v>1</v>
      </c>
      <c r="F131" s="59">
        <v>5</v>
      </c>
      <c r="G131" s="57">
        <v>40</v>
      </c>
      <c r="H131" s="57"/>
      <c r="I131" s="57"/>
      <c r="J131" s="57">
        <f>Table5[[#This Row],[العدد]]*Table5[[#This Row],[الفئة]]</f>
        <v>5</v>
      </c>
      <c r="K13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131" s="57">
        <f>Table5[[#This Row],[الاجمالي]]</f>
        <v>200</v>
      </c>
      <c r="M131" s="57">
        <f>Table5[[#This Row],[الاجمالي]]-Table5[[#This Row],[المبلغ المدفوع]]</f>
        <v>0</v>
      </c>
      <c r="N131" s="60"/>
    </row>
    <row r="132" spans="1:14" hidden="1" x14ac:dyDescent="0.3">
      <c r="A132" s="52">
        <f t="shared" si="0"/>
        <v>129</v>
      </c>
      <c r="B132" s="63" t="s">
        <v>77</v>
      </c>
      <c r="C132" s="56">
        <v>45303</v>
      </c>
      <c r="D132" s="55">
        <v>249</v>
      </c>
      <c r="E132" s="57">
        <v>2</v>
      </c>
      <c r="F132" s="59">
        <v>0.8</v>
      </c>
      <c r="G132" s="57">
        <v>38</v>
      </c>
      <c r="H132" s="57"/>
      <c r="I132" s="57"/>
      <c r="J132" s="57">
        <f>Table5[[#This Row],[العدد]]*Table5[[#This Row],[الفئة]]</f>
        <v>1.6</v>
      </c>
      <c r="K13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</v>
      </c>
      <c r="L132" s="57">
        <f>Table5[[#This Row],[الاجمالي]]</f>
        <v>76</v>
      </c>
      <c r="M132" s="57">
        <f>Table5[[#This Row],[الاجمالي]]-Table5[[#This Row],[المبلغ المدفوع]]</f>
        <v>0</v>
      </c>
      <c r="N132" s="60"/>
    </row>
    <row r="133" spans="1:14" hidden="1" x14ac:dyDescent="0.3">
      <c r="A133" s="52">
        <f t="shared" si="0"/>
        <v>130</v>
      </c>
      <c r="B133" s="63"/>
      <c r="C133" s="56"/>
      <c r="D133" s="55"/>
      <c r="E133" s="57"/>
      <c r="F133" s="59"/>
      <c r="G133" s="57"/>
      <c r="H133" s="57"/>
      <c r="I133" s="57"/>
      <c r="J133" s="57">
        <f>Table5[[#This Row],[العدد]]*Table5[[#This Row],[الفئة]]</f>
        <v>0</v>
      </c>
      <c r="K13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33" s="57"/>
      <c r="M133" s="57">
        <f>Table5[[#This Row],[الاجمالي]]-Table5[[#This Row],[المبلغ المدفوع]]</f>
        <v>0</v>
      </c>
      <c r="N133" s="60"/>
    </row>
    <row r="134" spans="1:14" hidden="1" x14ac:dyDescent="0.3">
      <c r="A134" s="52">
        <f t="shared" si="0"/>
        <v>131</v>
      </c>
      <c r="B134" s="63" t="s">
        <v>31</v>
      </c>
      <c r="C134" s="56">
        <v>45302</v>
      </c>
      <c r="D134" s="55">
        <v>250</v>
      </c>
      <c r="E134" s="57">
        <v>1</v>
      </c>
      <c r="F134" s="59">
        <v>5</v>
      </c>
      <c r="G134" s="57">
        <v>40</v>
      </c>
      <c r="H134" s="57"/>
      <c r="I134" s="57"/>
      <c r="J134" s="57">
        <f>Table5[[#This Row],[العدد]]*Table5[[#This Row],[الفئة]]</f>
        <v>5</v>
      </c>
      <c r="K13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134" s="57">
        <v>200</v>
      </c>
      <c r="M134" s="57">
        <f>Table5[[#This Row],[الاجمالي]]-Table5[[#This Row],[المبلغ المدفوع]]</f>
        <v>0</v>
      </c>
      <c r="N134" s="60"/>
    </row>
    <row r="135" spans="1:14" hidden="1" x14ac:dyDescent="0.3">
      <c r="A135" s="52">
        <f t="shared" si="0"/>
        <v>132</v>
      </c>
      <c r="B135" s="63"/>
      <c r="C135" s="56"/>
      <c r="D135" s="55"/>
      <c r="E135" s="57"/>
      <c r="F135" s="59"/>
      <c r="G135" s="57"/>
      <c r="H135" s="57"/>
      <c r="I135" s="57"/>
      <c r="J135" s="57">
        <f>Table5[[#This Row],[العدد]]*Table5[[#This Row],[الفئة]]</f>
        <v>0</v>
      </c>
      <c r="K13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35" s="57"/>
      <c r="M135" s="57">
        <f>Table5[[#This Row],[الاجمالي]]-Table5[[#This Row],[المبلغ المدفوع]]</f>
        <v>0</v>
      </c>
      <c r="N135" s="60"/>
    </row>
    <row r="136" spans="1:14" hidden="1" x14ac:dyDescent="0.3">
      <c r="A136" s="52">
        <f t="shared" si="0"/>
        <v>133</v>
      </c>
      <c r="B136" s="63" t="s">
        <v>48</v>
      </c>
      <c r="C136" s="56">
        <v>45313</v>
      </c>
      <c r="D136" s="55">
        <v>251</v>
      </c>
      <c r="E136" s="57">
        <v>200</v>
      </c>
      <c r="F136" s="59">
        <v>5</v>
      </c>
      <c r="G136" s="57">
        <v>40</v>
      </c>
      <c r="H136" s="57"/>
      <c r="I136" s="57"/>
      <c r="J136" s="57">
        <f>Table5[[#This Row],[العدد]]*Table5[[#This Row],[الفئة]]</f>
        <v>1000</v>
      </c>
      <c r="K13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136" s="57"/>
      <c r="M136" s="57">
        <f>Table5[[#This Row],[الاجمالي]]-Table5[[#This Row],[المبلغ المدفوع]]</f>
        <v>40000</v>
      </c>
      <c r="N136" s="60"/>
    </row>
    <row r="137" spans="1:14" hidden="1" x14ac:dyDescent="0.3">
      <c r="A137" s="52">
        <f t="shared" si="0"/>
        <v>134</v>
      </c>
      <c r="B137" s="63"/>
      <c r="C137" s="56"/>
      <c r="D137" s="55"/>
      <c r="E137" s="57"/>
      <c r="F137" s="59"/>
      <c r="G137" s="57"/>
      <c r="H137" s="57"/>
      <c r="I137" s="57"/>
      <c r="J137" s="57">
        <f>Table5[[#This Row],[العدد]]*Table5[[#This Row],[الفئة]]</f>
        <v>0</v>
      </c>
      <c r="K13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37" s="57"/>
      <c r="M137" s="57">
        <f>Table5[[#This Row],[الاجمالي]]-Table5[[#This Row],[المبلغ المدفوع]]</f>
        <v>0</v>
      </c>
      <c r="N137" s="60"/>
    </row>
    <row r="138" spans="1:14" hidden="1" x14ac:dyDescent="0.3">
      <c r="A138" s="52">
        <f t="shared" si="0"/>
        <v>135</v>
      </c>
      <c r="B138" s="63" t="s">
        <v>31</v>
      </c>
      <c r="C138" s="56">
        <v>45314</v>
      </c>
      <c r="D138" s="55">
        <v>252</v>
      </c>
      <c r="E138" s="57">
        <v>3</v>
      </c>
      <c r="F138" s="59">
        <v>5</v>
      </c>
      <c r="G138" s="57">
        <v>40</v>
      </c>
      <c r="H138" s="57"/>
      <c r="I138" s="57"/>
      <c r="J138" s="57">
        <f>Table5[[#This Row],[العدد]]*Table5[[#This Row],[الفئة]]</f>
        <v>15</v>
      </c>
      <c r="K13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138" s="57">
        <v>400</v>
      </c>
      <c r="M138" s="57">
        <f>Table5[[#This Row],[الاجمالي]]-Table5[[#This Row],[المبلغ المدفوع]]</f>
        <v>200</v>
      </c>
      <c r="N138" s="60"/>
    </row>
    <row r="139" spans="1:14" hidden="1" x14ac:dyDescent="0.3">
      <c r="A139" s="52">
        <f t="shared" si="0"/>
        <v>136</v>
      </c>
      <c r="B139" s="63"/>
      <c r="C139" s="56"/>
      <c r="D139" s="55"/>
      <c r="E139" s="57"/>
      <c r="F139" s="59"/>
      <c r="G139" s="57"/>
      <c r="H139" s="57"/>
      <c r="I139" s="57"/>
      <c r="J139" s="57">
        <f>Table5[[#This Row],[العدد]]*Table5[[#This Row],[الفئة]]</f>
        <v>0</v>
      </c>
      <c r="K13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39" s="57"/>
      <c r="M139" s="57">
        <f>Table5[[#This Row],[الاجمالي]]-Table5[[#This Row],[المبلغ المدفوع]]</f>
        <v>0</v>
      </c>
      <c r="N139" s="60"/>
    </row>
    <row r="140" spans="1:14" hidden="1" x14ac:dyDescent="0.3">
      <c r="A140" s="52">
        <f t="shared" si="0"/>
        <v>137</v>
      </c>
      <c r="B140" s="63" t="s">
        <v>146</v>
      </c>
      <c r="C140" s="56">
        <v>45314</v>
      </c>
      <c r="D140" s="55">
        <v>253</v>
      </c>
      <c r="E140" s="57">
        <v>50</v>
      </c>
      <c r="F140" s="59">
        <v>0.8</v>
      </c>
      <c r="G140" s="57">
        <v>40</v>
      </c>
      <c r="H140" s="57"/>
      <c r="I140" s="57"/>
      <c r="J140" s="57">
        <f>Table5[[#This Row],[العدد]]*Table5[[#This Row],[الفئة]]</f>
        <v>40</v>
      </c>
      <c r="K14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</v>
      </c>
      <c r="L140" s="57">
        <f>Table5[[#This Row],[الاجمالي]]</f>
        <v>2000</v>
      </c>
      <c r="M140" s="57">
        <f>Table5[[#This Row],[الاجمالي]]-Table5[[#This Row],[المبلغ المدفوع]]</f>
        <v>0</v>
      </c>
      <c r="N140" s="60" t="s">
        <v>78</v>
      </c>
    </row>
    <row r="141" spans="1:14" hidden="1" x14ac:dyDescent="0.3">
      <c r="A141" s="52">
        <f t="shared" si="0"/>
        <v>138</v>
      </c>
      <c r="B141" s="63" t="s">
        <v>146</v>
      </c>
      <c r="C141" s="56">
        <v>45314</v>
      </c>
      <c r="D141" s="55">
        <v>253</v>
      </c>
      <c r="E141" s="57">
        <v>50</v>
      </c>
      <c r="F141" s="59">
        <v>1.6</v>
      </c>
      <c r="G141" s="57">
        <v>40</v>
      </c>
      <c r="H141" s="57"/>
      <c r="I141" s="57"/>
      <c r="J141" s="57">
        <f>Table5[[#This Row],[العدد]]*Table5[[#This Row],[الفئة]]</f>
        <v>80</v>
      </c>
      <c r="K14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141" s="57">
        <f>Table5[[#This Row],[الاجمالي]]</f>
        <v>4000</v>
      </c>
      <c r="M141" s="57">
        <f>Table5[[#This Row],[الاجمالي]]-Table5[[#This Row],[المبلغ المدفوع]]</f>
        <v>0</v>
      </c>
      <c r="N141" s="60" t="s">
        <v>78</v>
      </c>
    </row>
    <row r="142" spans="1:14" hidden="1" x14ac:dyDescent="0.3">
      <c r="A142" s="52">
        <f t="shared" si="0"/>
        <v>139</v>
      </c>
      <c r="B142" s="63" t="s">
        <v>146</v>
      </c>
      <c r="C142" s="56">
        <v>45314</v>
      </c>
      <c r="D142" s="55">
        <v>253</v>
      </c>
      <c r="E142" s="57">
        <v>20</v>
      </c>
      <c r="F142" s="59">
        <v>5</v>
      </c>
      <c r="G142" s="57">
        <v>45</v>
      </c>
      <c r="H142" s="57"/>
      <c r="I142" s="57"/>
      <c r="J142" s="57">
        <f>Table5[[#This Row],[العدد]]*Table5[[#This Row],[الفئة]]</f>
        <v>100</v>
      </c>
      <c r="K14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4500</v>
      </c>
      <c r="L142" s="57">
        <f>Table5[[#This Row],[الاجمالي]]</f>
        <v>4500</v>
      </c>
      <c r="M142" s="57">
        <f>Table5[[#This Row],[الاجمالي]]-Table5[[#This Row],[المبلغ المدفوع]]</f>
        <v>0</v>
      </c>
      <c r="N142" s="60" t="s">
        <v>78</v>
      </c>
    </row>
    <row r="143" spans="1:14" hidden="1" x14ac:dyDescent="0.3">
      <c r="A143" s="52">
        <f t="shared" si="0"/>
        <v>140</v>
      </c>
      <c r="B143" s="63" t="s">
        <v>146</v>
      </c>
      <c r="C143" s="56">
        <v>45314</v>
      </c>
      <c r="D143" s="55">
        <v>253</v>
      </c>
      <c r="E143" s="57">
        <v>5</v>
      </c>
      <c r="F143" s="59">
        <v>5</v>
      </c>
      <c r="G143" s="57">
        <v>40</v>
      </c>
      <c r="H143" s="57"/>
      <c r="I143" s="57"/>
      <c r="J143" s="57">
        <f>Table5[[#This Row],[العدد]]*Table5[[#This Row],[الفئة]]</f>
        <v>25</v>
      </c>
      <c r="K14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</v>
      </c>
      <c r="L143" s="57">
        <f>Table5[[#This Row],[الاجمالي]]</f>
        <v>1000</v>
      </c>
      <c r="M143" s="57">
        <f>Table5[[#This Row],[الاجمالي]]-Table5[[#This Row],[المبلغ المدفوع]]</f>
        <v>0</v>
      </c>
      <c r="N143" s="60" t="s">
        <v>78</v>
      </c>
    </row>
    <row r="144" spans="1:14" hidden="1" x14ac:dyDescent="0.3">
      <c r="A144" s="52">
        <f t="shared" si="0"/>
        <v>141</v>
      </c>
      <c r="B144" s="63"/>
      <c r="C144" s="56"/>
      <c r="D144" s="55"/>
      <c r="E144" s="57"/>
      <c r="F144" s="59"/>
      <c r="G144" s="57"/>
      <c r="H144" s="57"/>
      <c r="I144" s="57"/>
      <c r="J144" s="57">
        <f>Table5[[#This Row],[العدد]]*Table5[[#This Row],[الفئة]]</f>
        <v>0</v>
      </c>
      <c r="K14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44" s="57"/>
      <c r="M144" s="57">
        <f>Table5[[#This Row],[الاجمالي]]-Table5[[#This Row],[المبلغ المدفوع]]</f>
        <v>0</v>
      </c>
      <c r="N144" s="60"/>
    </row>
    <row r="145" spans="1:14" hidden="1" x14ac:dyDescent="0.3">
      <c r="A145" s="52">
        <f t="shared" si="0"/>
        <v>142</v>
      </c>
      <c r="B145" s="63" t="s">
        <v>41</v>
      </c>
      <c r="C145" s="56">
        <v>45315</v>
      </c>
      <c r="D145" s="55">
        <v>254</v>
      </c>
      <c r="E145" s="58">
        <v>500</v>
      </c>
      <c r="F145" s="59">
        <v>5</v>
      </c>
      <c r="G145" s="57">
        <v>40</v>
      </c>
      <c r="H145" s="57"/>
      <c r="I145" s="57"/>
      <c r="J145" s="57">
        <f>Table5[[#This Row],[العدد]]*Table5[[#This Row],[الفئة]]</f>
        <v>2500</v>
      </c>
      <c r="K14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100000</v>
      </c>
      <c r="L145" s="57"/>
      <c r="M145" s="57">
        <f>Table5[[#This Row],[الاجمالي]]-Table5[[#This Row],[المبلغ المدفوع]]</f>
        <v>100000</v>
      </c>
      <c r="N145" s="60"/>
    </row>
    <row r="146" spans="1:14" hidden="1" x14ac:dyDescent="0.3">
      <c r="A146" s="52">
        <f t="shared" si="0"/>
        <v>143</v>
      </c>
      <c r="B146" s="63"/>
      <c r="C146" s="56"/>
      <c r="D146" s="55"/>
      <c r="E146" s="57"/>
      <c r="F146" s="59"/>
      <c r="G146" s="57"/>
      <c r="H146" s="57"/>
      <c r="I146" s="57"/>
      <c r="J146" s="57">
        <f>Table5[[#This Row],[العدد]]*Table5[[#This Row],[الفئة]]</f>
        <v>0</v>
      </c>
      <c r="K14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46" s="57"/>
      <c r="M146" s="57">
        <f>Table5[[#This Row],[الاجمالي]]-Table5[[#This Row],[المبلغ المدفوع]]</f>
        <v>0</v>
      </c>
      <c r="N146" s="60"/>
    </row>
    <row r="147" spans="1:14" hidden="1" x14ac:dyDescent="0.3">
      <c r="A147" s="52">
        <f t="shared" si="0"/>
        <v>144</v>
      </c>
      <c r="B147" s="63" t="s">
        <v>27</v>
      </c>
      <c r="C147" s="56">
        <v>45315</v>
      </c>
      <c r="D147" s="55">
        <v>255</v>
      </c>
      <c r="E147" s="57">
        <v>600</v>
      </c>
      <c r="F147" s="59">
        <v>5</v>
      </c>
      <c r="G147" s="57">
        <v>44</v>
      </c>
      <c r="H147" s="57"/>
      <c r="I147" s="57"/>
      <c r="J147" s="57">
        <f>Table5[[#This Row],[العدد]]*Table5[[#This Row],[الفئة]]</f>
        <v>3000</v>
      </c>
      <c r="K14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132000</v>
      </c>
      <c r="L147" s="57"/>
      <c r="M147" s="57">
        <f>Table5[[#This Row],[الاجمالي]]-Table5[[#This Row],[المبلغ المدفوع]]</f>
        <v>132000</v>
      </c>
      <c r="N147" s="60" t="s">
        <v>79</v>
      </c>
    </row>
    <row r="148" spans="1:14" hidden="1" x14ac:dyDescent="0.3">
      <c r="A148" s="52">
        <f t="shared" si="0"/>
        <v>145</v>
      </c>
      <c r="B148" s="63"/>
      <c r="C148" s="56"/>
      <c r="D148" s="55"/>
      <c r="E148" s="57"/>
      <c r="F148" s="59"/>
      <c r="G148" s="57"/>
      <c r="H148" s="57"/>
      <c r="I148" s="57"/>
      <c r="J148" s="57">
        <f>Table5[[#This Row],[العدد]]*Table5[[#This Row],[الفئة]]</f>
        <v>0</v>
      </c>
      <c r="K14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48" s="57"/>
      <c r="M148" s="57">
        <f>Table5[[#This Row],[الاجمالي]]-Table5[[#This Row],[المبلغ المدفوع]]</f>
        <v>0</v>
      </c>
      <c r="N148" s="60"/>
    </row>
    <row r="149" spans="1:14" hidden="1" x14ac:dyDescent="0.3">
      <c r="A149" s="52">
        <f t="shared" si="0"/>
        <v>146</v>
      </c>
      <c r="B149" s="63" t="s">
        <v>80</v>
      </c>
      <c r="C149" s="56">
        <v>45316</v>
      </c>
      <c r="D149" s="55">
        <v>257</v>
      </c>
      <c r="E149" s="57">
        <v>3</v>
      </c>
      <c r="F149" s="59">
        <v>5</v>
      </c>
      <c r="G149" s="57">
        <v>38</v>
      </c>
      <c r="H149" s="57"/>
      <c r="I149" s="57"/>
      <c r="J149" s="57">
        <f>Table5[[#This Row],[العدد]]*Table5[[#This Row],[الفئة]]</f>
        <v>15</v>
      </c>
      <c r="K14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</v>
      </c>
      <c r="L149" s="57"/>
      <c r="M149" s="57">
        <f>Table5[[#This Row],[الاجمالي]]-Table5[[#This Row],[المبلغ المدفوع]]</f>
        <v>570</v>
      </c>
      <c r="N149" s="60"/>
    </row>
    <row r="150" spans="1:14" hidden="1" x14ac:dyDescent="0.3">
      <c r="A150" s="52">
        <f t="shared" si="0"/>
        <v>147</v>
      </c>
      <c r="B150" s="63" t="s">
        <v>80</v>
      </c>
      <c r="C150" s="56">
        <v>45316</v>
      </c>
      <c r="D150" s="55">
        <v>257</v>
      </c>
      <c r="E150" s="57">
        <v>7</v>
      </c>
      <c r="F150" s="59">
        <v>5</v>
      </c>
      <c r="G150" s="57">
        <v>40</v>
      </c>
      <c r="H150" s="57"/>
      <c r="I150" s="57"/>
      <c r="J150" s="57">
        <f>Table5[[#This Row],[العدد]]*Table5[[#This Row],[الفئة]]</f>
        <v>35</v>
      </c>
      <c r="K15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1400</v>
      </c>
      <c r="L150" s="57"/>
      <c r="M150" s="57">
        <f>Table5[[#This Row],[الاجمالي]]-Table5[[#This Row],[المبلغ المدفوع]]</f>
        <v>1400</v>
      </c>
      <c r="N150" s="60"/>
    </row>
    <row r="151" spans="1:14" hidden="1" x14ac:dyDescent="0.3">
      <c r="A151" s="52">
        <f t="shared" si="0"/>
        <v>148</v>
      </c>
      <c r="B151" s="63" t="s">
        <v>80</v>
      </c>
      <c r="C151" s="56">
        <v>45316</v>
      </c>
      <c r="D151" s="55">
        <v>257</v>
      </c>
      <c r="E151" s="62">
        <v>4</v>
      </c>
      <c r="F151" s="71">
        <f>87/4</f>
        <v>21.75</v>
      </c>
      <c r="G151" s="62">
        <f>1550/45</f>
        <v>34.444444444444443</v>
      </c>
      <c r="H151" s="62"/>
      <c r="I151" s="62"/>
      <c r="J151" s="57">
        <f>Table5[[#This Row],[العدد]]*Table5[[#This Row],[الفئة]]</f>
        <v>87</v>
      </c>
      <c r="K15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2996.6666666666665</v>
      </c>
      <c r="L151" s="57"/>
      <c r="M151" s="57">
        <f>Table5[[#This Row],[الاجمالي]]-Table5[[#This Row],[المبلغ المدفوع]]</f>
        <v>2996.6666666666665</v>
      </c>
      <c r="N151" s="60"/>
    </row>
    <row r="152" spans="1:14" hidden="1" x14ac:dyDescent="0.3">
      <c r="A152" s="52">
        <f t="shared" si="0"/>
        <v>149</v>
      </c>
      <c r="B152" s="63"/>
      <c r="C152" s="56"/>
      <c r="D152" s="55"/>
      <c r="E152" s="57"/>
      <c r="F152" s="59"/>
      <c r="G152" s="57"/>
      <c r="H152" s="57"/>
      <c r="I152" s="57"/>
      <c r="J152" s="57">
        <f>Table5[[#This Row],[العدد]]*Table5[[#This Row],[الفئة]]</f>
        <v>0</v>
      </c>
      <c r="K15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52" s="57"/>
      <c r="M152" s="57">
        <f>Table5[[#This Row],[الاجمالي]]-Table5[[#This Row],[المبلغ المدفوع]]</f>
        <v>0</v>
      </c>
      <c r="N152" s="60"/>
    </row>
    <row r="153" spans="1:14" hidden="1" x14ac:dyDescent="0.3">
      <c r="A153" s="52">
        <f t="shared" si="0"/>
        <v>150</v>
      </c>
      <c r="B153" s="63" t="s">
        <v>81</v>
      </c>
      <c r="C153" s="56">
        <v>45317</v>
      </c>
      <c r="D153" s="55">
        <v>257</v>
      </c>
      <c r="E153" s="57">
        <v>50</v>
      </c>
      <c r="F153" s="59">
        <v>5</v>
      </c>
      <c r="G153" s="57">
        <v>38</v>
      </c>
      <c r="H153" s="57"/>
      <c r="I153" s="57"/>
      <c r="J153" s="57">
        <f>Table5[[#This Row],[العدد]]*Table5[[#This Row],[الفئة]]</f>
        <v>250</v>
      </c>
      <c r="K15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9500</v>
      </c>
      <c r="L153" s="57">
        <f>Table5[[#This Row],[الاجمالي]]</f>
        <v>9500</v>
      </c>
      <c r="M153" s="57">
        <f>Table5[[#This Row],[الاجمالي]]-Table5[[#This Row],[المبلغ المدفوع]]</f>
        <v>0</v>
      </c>
      <c r="N153" s="60"/>
    </row>
    <row r="154" spans="1:14" hidden="1" x14ac:dyDescent="0.3">
      <c r="A154" s="52">
        <f t="shared" si="0"/>
        <v>151</v>
      </c>
      <c r="B154" s="63" t="s">
        <v>81</v>
      </c>
      <c r="C154" s="56">
        <v>45317</v>
      </c>
      <c r="D154" s="55">
        <v>257</v>
      </c>
      <c r="E154" s="57">
        <v>50</v>
      </c>
      <c r="F154" s="59">
        <v>1.6</v>
      </c>
      <c r="G154" s="57">
        <v>37</v>
      </c>
      <c r="H154" s="57"/>
      <c r="I154" s="57"/>
      <c r="J154" s="57">
        <f>Table5[[#This Row],[العدد]]*Table5[[#This Row],[الفئة]]</f>
        <v>80</v>
      </c>
      <c r="K15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3700</v>
      </c>
      <c r="L154" s="57">
        <f>Table5[[#This Row],[الاجمالي]]</f>
        <v>3700</v>
      </c>
      <c r="M154" s="57">
        <f>Table5[[#This Row],[الاجمالي]]-Table5[[#This Row],[المبلغ المدفوع]]</f>
        <v>0</v>
      </c>
      <c r="N154" s="60"/>
    </row>
    <row r="155" spans="1:14" hidden="1" x14ac:dyDescent="0.3">
      <c r="A155" s="52">
        <f t="shared" si="0"/>
        <v>152</v>
      </c>
      <c r="B155" s="63" t="s">
        <v>81</v>
      </c>
      <c r="C155" s="56">
        <v>45317</v>
      </c>
      <c r="D155" s="55">
        <v>257</v>
      </c>
      <c r="E155" s="57">
        <v>50</v>
      </c>
      <c r="F155" s="59">
        <v>0.8</v>
      </c>
      <c r="G155" s="57">
        <v>36</v>
      </c>
      <c r="H155" s="57"/>
      <c r="I155" s="57"/>
      <c r="J155" s="57">
        <f>Table5[[#This Row],[العدد]]*Table5[[#This Row],[الفئة]]</f>
        <v>40</v>
      </c>
      <c r="K15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1800</v>
      </c>
      <c r="L155" s="57">
        <f>Table5[[#This Row],[الاجمالي]]</f>
        <v>1800</v>
      </c>
      <c r="M155" s="57">
        <f>Table5[[#This Row],[الاجمالي]]-Table5[[#This Row],[المبلغ المدفوع]]</f>
        <v>0</v>
      </c>
      <c r="N155" s="60"/>
    </row>
    <row r="156" spans="1:14" hidden="1" x14ac:dyDescent="0.3">
      <c r="A156" s="52">
        <f t="shared" si="0"/>
        <v>153</v>
      </c>
      <c r="B156" s="63"/>
      <c r="C156" s="56"/>
      <c r="D156" s="55"/>
      <c r="E156" s="57"/>
      <c r="F156" s="59"/>
      <c r="G156" s="57"/>
      <c r="H156" s="57"/>
      <c r="I156" s="57"/>
      <c r="J156" s="57">
        <f>Table5[[#This Row],[العدد]]*Table5[[#This Row],[الفئة]]</f>
        <v>0</v>
      </c>
      <c r="K15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56" s="57"/>
      <c r="M156" s="57">
        <f>Table5[[#This Row],[الاجمالي]]-Table5[[#This Row],[المبلغ المدفوع]]</f>
        <v>0</v>
      </c>
      <c r="N156" s="60"/>
    </row>
    <row r="157" spans="1:14" hidden="1" x14ac:dyDescent="0.3">
      <c r="A157" s="52">
        <f t="shared" si="0"/>
        <v>154</v>
      </c>
      <c r="B157" s="63" t="s">
        <v>19</v>
      </c>
      <c r="C157" s="56">
        <v>45319</v>
      </c>
      <c r="D157" s="55">
        <v>258</v>
      </c>
      <c r="E157" s="57">
        <v>300</v>
      </c>
      <c r="F157" s="59">
        <v>0.8</v>
      </c>
      <c r="G157" s="57">
        <v>38</v>
      </c>
      <c r="H157" s="57"/>
      <c r="I157" s="57"/>
      <c r="J157" s="57">
        <f>Table5[[#This Row],[العدد]]*Table5[[#This Row],[الفئة]]</f>
        <v>240</v>
      </c>
      <c r="K15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11400</v>
      </c>
      <c r="L157" s="57">
        <f>Table5[[#This Row],[الاجمالي]]</f>
        <v>11400</v>
      </c>
      <c r="M157" s="57">
        <f>Table5[[#This Row],[الاجمالي]]-Table5[[#This Row],[المبلغ المدفوع]]</f>
        <v>0</v>
      </c>
      <c r="N157" s="60"/>
    </row>
    <row r="158" spans="1:14" hidden="1" x14ac:dyDescent="0.3">
      <c r="A158" s="52">
        <f t="shared" si="0"/>
        <v>155</v>
      </c>
      <c r="B158" s="63" t="s">
        <v>19</v>
      </c>
      <c r="C158" s="56">
        <v>45319</v>
      </c>
      <c r="D158" s="55">
        <v>258</v>
      </c>
      <c r="E158" s="57">
        <v>100</v>
      </c>
      <c r="F158" s="59">
        <v>1.6</v>
      </c>
      <c r="G158" s="57">
        <v>38</v>
      </c>
      <c r="H158" s="57"/>
      <c r="I158" s="57"/>
      <c r="J158" s="57">
        <f>Table5[[#This Row],[العدد]]*Table5[[#This Row],[الفئة]]</f>
        <v>160</v>
      </c>
      <c r="K15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158" s="57">
        <f>Table5[[#This Row],[الاجمالي]]</f>
        <v>7600</v>
      </c>
      <c r="M158" s="57">
        <f>Table5[[#This Row],[الاجمالي]]-Table5[[#This Row],[المبلغ المدفوع]]</f>
        <v>0</v>
      </c>
      <c r="N158" s="60"/>
    </row>
    <row r="159" spans="1:14" hidden="1" x14ac:dyDescent="0.3">
      <c r="A159" s="52">
        <f t="shared" si="0"/>
        <v>156</v>
      </c>
      <c r="B159" s="63"/>
      <c r="C159" s="56"/>
      <c r="D159" s="55"/>
      <c r="E159" s="57"/>
      <c r="F159" s="59"/>
      <c r="G159" s="57"/>
      <c r="H159" s="57"/>
      <c r="I159" s="57"/>
      <c r="J159" s="57">
        <f>Table5[[#This Row],[العدد]]*Table5[[#This Row],[الفئة]]</f>
        <v>0</v>
      </c>
      <c r="K15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59" s="57"/>
      <c r="M159" s="57">
        <f>Table5[[#This Row],[الاجمالي]]-Table5[[#This Row],[المبلغ المدفوع]]</f>
        <v>0</v>
      </c>
      <c r="N159" s="60"/>
    </row>
    <row r="160" spans="1:14" hidden="1" x14ac:dyDescent="0.3">
      <c r="A160" s="52">
        <f t="shared" si="0"/>
        <v>157</v>
      </c>
      <c r="B160" s="63" t="s">
        <v>66</v>
      </c>
      <c r="C160" s="56">
        <v>45320</v>
      </c>
      <c r="D160" s="55">
        <v>259</v>
      </c>
      <c r="E160" s="69"/>
      <c r="F160" s="70"/>
      <c r="G160" s="69"/>
      <c r="H160" s="69"/>
      <c r="I160" s="69"/>
      <c r="J160" s="69">
        <f>Table5[[#This Row],[العدد]]*Table5[[#This Row],[الفئة]]</f>
        <v>0</v>
      </c>
      <c r="K160" s="69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60" s="69"/>
      <c r="M160" s="69">
        <f>Table5[[#This Row],[الاجمالي]]-Table5[[#This Row],[المبلغ المدفوع]]</f>
        <v>0</v>
      </c>
      <c r="N160" s="60" t="s">
        <v>68</v>
      </c>
    </row>
    <row r="161" spans="1:14" hidden="1" x14ac:dyDescent="0.3">
      <c r="A161" s="52">
        <f t="shared" si="0"/>
        <v>158</v>
      </c>
      <c r="B161" s="63"/>
      <c r="C161" s="56"/>
      <c r="D161" s="55"/>
      <c r="E161" s="57"/>
      <c r="F161" s="59"/>
      <c r="G161" s="57"/>
      <c r="H161" s="57"/>
      <c r="I161" s="57"/>
      <c r="J161" s="57">
        <f>Table5[[#This Row],[العدد]]*Table5[[#This Row],[الفئة]]</f>
        <v>0</v>
      </c>
      <c r="K16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61" s="57"/>
      <c r="M161" s="57">
        <f>Table5[[#This Row],[الاجمالي]]-Table5[[#This Row],[المبلغ المدفوع]]</f>
        <v>0</v>
      </c>
      <c r="N161" s="60"/>
    </row>
    <row r="162" spans="1:14" hidden="1" x14ac:dyDescent="0.3">
      <c r="A162" s="52">
        <f t="shared" si="0"/>
        <v>159</v>
      </c>
      <c r="B162" s="63" t="s">
        <v>82</v>
      </c>
      <c r="C162" s="56">
        <v>45319</v>
      </c>
      <c r="D162" s="55">
        <v>260</v>
      </c>
      <c r="E162" s="57">
        <v>20</v>
      </c>
      <c r="F162" s="59">
        <v>5</v>
      </c>
      <c r="G162" s="57">
        <v>40</v>
      </c>
      <c r="H162" s="57"/>
      <c r="I162" s="57"/>
      <c r="J162" s="57">
        <f>Table5[[#This Row],[العدد]]*Table5[[#This Row],[الفئة]]</f>
        <v>100</v>
      </c>
      <c r="K16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162" s="57"/>
      <c r="M162" s="57">
        <f>Table5[[#This Row],[الاجمالي]]-Table5[[#This Row],[المبلغ المدفوع]]</f>
        <v>4000</v>
      </c>
      <c r="N162" s="60"/>
    </row>
    <row r="163" spans="1:14" hidden="1" x14ac:dyDescent="0.3">
      <c r="A163" s="52">
        <f t="shared" si="0"/>
        <v>160</v>
      </c>
      <c r="B163" s="63" t="s">
        <v>82</v>
      </c>
      <c r="C163" s="56">
        <v>45319</v>
      </c>
      <c r="D163" s="55">
        <v>260</v>
      </c>
      <c r="E163" s="57">
        <v>20</v>
      </c>
      <c r="F163" s="59">
        <v>1.6</v>
      </c>
      <c r="G163" s="57">
        <v>38</v>
      </c>
      <c r="H163" s="57"/>
      <c r="I163" s="57"/>
      <c r="J163" s="57">
        <f>Table5[[#This Row],[العدد]]*Table5[[#This Row],[الفئة]]</f>
        <v>32</v>
      </c>
      <c r="K16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163" s="57"/>
      <c r="M163" s="57">
        <f>Table5[[#This Row],[الاجمالي]]-Table5[[#This Row],[المبلغ المدفوع]]</f>
        <v>1520</v>
      </c>
      <c r="N163" s="60"/>
    </row>
    <row r="164" spans="1:14" hidden="1" x14ac:dyDescent="0.3">
      <c r="A164" s="52">
        <f t="shared" si="0"/>
        <v>161</v>
      </c>
      <c r="B164" s="63"/>
      <c r="C164" s="56"/>
      <c r="D164" s="55"/>
      <c r="E164" s="57"/>
      <c r="F164" s="59"/>
      <c r="G164" s="57"/>
      <c r="H164" s="57"/>
      <c r="I164" s="57"/>
      <c r="J164" s="57">
        <f>Table5[[#This Row],[العدد]]*Table5[[#This Row],[الفئة]]</f>
        <v>0</v>
      </c>
      <c r="K16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64" s="57"/>
      <c r="M164" s="57">
        <f>Table5[[#This Row],[الاجمالي]]-Table5[[#This Row],[المبلغ المدفوع]]</f>
        <v>0</v>
      </c>
      <c r="N164" s="60"/>
    </row>
    <row r="165" spans="1:14" hidden="1" x14ac:dyDescent="0.3">
      <c r="A165" s="52">
        <f t="shared" si="0"/>
        <v>162</v>
      </c>
      <c r="B165" s="63" t="s">
        <v>83</v>
      </c>
      <c r="C165" s="56">
        <v>45320</v>
      </c>
      <c r="D165" s="55">
        <v>261</v>
      </c>
      <c r="E165" s="57">
        <v>7280</v>
      </c>
      <c r="F165" s="72">
        <v>1</v>
      </c>
      <c r="G165" s="62">
        <f>1450/45</f>
        <v>32.222222222222221</v>
      </c>
      <c r="H165" s="62"/>
      <c r="I165" s="62"/>
      <c r="J165" s="57">
        <f>Table5[[#This Row],[العدد]]*Table5[[#This Row],[الفئة]]</f>
        <v>7280</v>
      </c>
      <c r="K16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234577.77777777778</v>
      </c>
      <c r="L165" s="57"/>
      <c r="M165" s="57">
        <f>Table5[[#This Row],[الاجمالي]]-Table5[[#This Row],[المبلغ المدفوع]]</f>
        <v>234577.77777777778</v>
      </c>
      <c r="N165" s="60" t="s">
        <v>84</v>
      </c>
    </row>
    <row r="166" spans="1:14" hidden="1" x14ac:dyDescent="0.3">
      <c r="A166" s="52">
        <f t="shared" si="0"/>
        <v>163</v>
      </c>
      <c r="B166" s="63"/>
      <c r="C166" s="56"/>
      <c r="D166" s="55"/>
      <c r="E166" s="57"/>
      <c r="F166" s="59"/>
      <c r="G166" s="57"/>
      <c r="H166" s="57"/>
      <c r="I166" s="57"/>
      <c r="J166" s="57">
        <f>Table5[[#This Row],[العدد]]*Table5[[#This Row],[الفئة]]</f>
        <v>0</v>
      </c>
      <c r="K16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66" s="57"/>
      <c r="M166" s="57">
        <f>Table5[[#This Row],[الاجمالي]]-Table5[[#This Row],[المبلغ المدفوع]]</f>
        <v>0</v>
      </c>
      <c r="N166" s="60"/>
    </row>
    <row r="167" spans="1:14" hidden="1" x14ac:dyDescent="0.3">
      <c r="A167" s="52">
        <f t="shared" si="0"/>
        <v>164</v>
      </c>
      <c r="B167" s="63" t="s">
        <v>85</v>
      </c>
      <c r="C167" s="56">
        <v>45322</v>
      </c>
      <c r="D167" s="55">
        <v>262</v>
      </c>
      <c r="E167" s="57">
        <v>300</v>
      </c>
      <c r="F167" s="59">
        <v>5</v>
      </c>
      <c r="G167" s="57">
        <v>39</v>
      </c>
      <c r="H167" s="57">
        <v>500</v>
      </c>
      <c r="I167" s="57"/>
      <c r="J167" s="57">
        <f>Table5[[#This Row],[العدد]]*Table5[[#This Row],[الفئة]]</f>
        <v>1500</v>
      </c>
      <c r="K16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58000</v>
      </c>
      <c r="L167" s="57">
        <v>50000</v>
      </c>
      <c r="M167" s="57">
        <f>Table5[[#This Row],[الاجمالي]]-Table5[[#This Row],[المبلغ المدفوع]]</f>
        <v>8000</v>
      </c>
      <c r="N167" s="60" t="s">
        <v>86</v>
      </c>
    </row>
    <row r="168" spans="1:14" hidden="1" x14ac:dyDescent="0.3">
      <c r="A168" s="52">
        <f t="shared" si="0"/>
        <v>165</v>
      </c>
      <c r="B168" s="63"/>
      <c r="C168" s="56"/>
      <c r="D168" s="55"/>
      <c r="E168" s="57"/>
      <c r="F168" s="59"/>
      <c r="G168" s="57"/>
      <c r="H168" s="57"/>
      <c r="I168" s="57"/>
      <c r="J168" s="57">
        <f>Table5[[#This Row],[العدد]]*Table5[[#This Row],[الفئة]]</f>
        <v>0</v>
      </c>
      <c r="K16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68" s="57"/>
      <c r="M168" s="57">
        <f>Table5[[#This Row],[الاجمالي]]-Table5[[#This Row],[المبلغ المدفوع]]</f>
        <v>0</v>
      </c>
      <c r="N168" s="60"/>
    </row>
    <row r="169" spans="1:14" hidden="1" x14ac:dyDescent="0.3">
      <c r="A169" s="52">
        <f t="shared" si="0"/>
        <v>166</v>
      </c>
      <c r="B169" s="63" t="s">
        <v>87</v>
      </c>
      <c r="C169" s="56">
        <v>45322</v>
      </c>
      <c r="D169" s="55">
        <v>263</v>
      </c>
      <c r="E169" s="57">
        <v>200</v>
      </c>
      <c r="F169" s="59">
        <v>5</v>
      </c>
      <c r="G169" s="57">
        <v>40</v>
      </c>
      <c r="H169" s="57"/>
      <c r="I169" s="57"/>
      <c r="J169" s="57">
        <f>Table5[[#This Row],[العدد]]*Table5[[#This Row],[الفئة]]</f>
        <v>1000</v>
      </c>
      <c r="K16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169" s="57">
        <f>Table5[[#This Row],[الاجمالي]]</f>
        <v>40000</v>
      </c>
      <c r="M169" s="57">
        <f>Table5[[#This Row],[الاجمالي]]-Table5[[#This Row],[المبلغ المدفوع]]</f>
        <v>0</v>
      </c>
      <c r="N169" s="60" t="s">
        <v>88</v>
      </c>
    </row>
    <row r="170" spans="1:14" hidden="1" x14ac:dyDescent="0.3">
      <c r="A170" s="52">
        <f t="shared" si="0"/>
        <v>167</v>
      </c>
      <c r="B170" s="63" t="s">
        <v>87</v>
      </c>
      <c r="C170" s="56">
        <v>45322</v>
      </c>
      <c r="D170" s="55">
        <v>263</v>
      </c>
      <c r="E170" s="57">
        <v>100</v>
      </c>
      <c r="F170" s="59">
        <v>1.6</v>
      </c>
      <c r="G170" s="57">
        <v>38</v>
      </c>
      <c r="H170" s="57"/>
      <c r="I170" s="57"/>
      <c r="J170" s="57">
        <f>Table5[[#This Row],[العدد]]*Table5[[#This Row],[الفئة]]</f>
        <v>160</v>
      </c>
      <c r="K17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170" s="57">
        <f>Table5[[#This Row],[الاجمالي]]</f>
        <v>7600</v>
      </c>
      <c r="M170" s="57">
        <f>Table5[[#This Row],[الاجمالي]]-Table5[[#This Row],[المبلغ المدفوع]]</f>
        <v>0</v>
      </c>
      <c r="N170" s="60"/>
    </row>
    <row r="171" spans="1:14" hidden="1" x14ac:dyDescent="0.3">
      <c r="A171" s="52">
        <f t="shared" si="0"/>
        <v>168</v>
      </c>
      <c r="B171" s="63" t="s">
        <v>87</v>
      </c>
      <c r="C171" s="56">
        <v>45322</v>
      </c>
      <c r="D171" s="55">
        <v>263</v>
      </c>
      <c r="E171" s="57">
        <v>480</v>
      </c>
      <c r="F171" s="59">
        <v>0.8</v>
      </c>
      <c r="G171" s="57">
        <v>38</v>
      </c>
      <c r="H171" s="57"/>
      <c r="I171" s="57"/>
      <c r="J171" s="57">
        <f>Table5[[#This Row],[العدد]]*Table5[[#This Row],[الفئة]]</f>
        <v>384</v>
      </c>
      <c r="K17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18240</v>
      </c>
      <c r="L171" s="57">
        <f>Table5[[#This Row],[الاجمالي]]</f>
        <v>18240</v>
      </c>
      <c r="M171" s="57">
        <f>Table5[[#This Row],[الاجمالي]]-Table5[[#This Row],[المبلغ المدفوع]]</f>
        <v>0</v>
      </c>
      <c r="N171" s="60"/>
    </row>
    <row r="172" spans="1:14" hidden="1" x14ac:dyDescent="0.3">
      <c r="A172" s="52">
        <f t="shared" si="0"/>
        <v>169</v>
      </c>
      <c r="B172" s="63"/>
      <c r="C172" s="56"/>
      <c r="D172" s="55"/>
      <c r="E172" s="57"/>
      <c r="F172" s="59"/>
      <c r="G172" s="57"/>
      <c r="H172" s="57"/>
      <c r="I172" s="57"/>
      <c r="J172" s="57">
        <f>Table5[[#This Row],[العدد]]*Table5[[#This Row],[الفئة]]</f>
        <v>0</v>
      </c>
      <c r="K17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72" s="57"/>
      <c r="M172" s="57">
        <f>Table5[[#This Row],[الاجمالي]]-Table5[[#This Row],[المبلغ المدفوع]]</f>
        <v>0</v>
      </c>
      <c r="N172" s="60"/>
    </row>
    <row r="173" spans="1:14" hidden="1" x14ac:dyDescent="0.3">
      <c r="A173" s="52">
        <f t="shared" si="0"/>
        <v>170</v>
      </c>
      <c r="B173" s="63" t="s">
        <v>89</v>
      </c>
      <c r="C173" s="56">
        <v>45322</v>
      </c>
      <c r="D173" s="55">
        <v>264</v>
      </c>
      <c r="E173" s="57">
        <v>15</v>
      </c>
      <c r="F173" s="59">
        <v>5</v>
      </c>
      <c r="G173" s="57">
        <v>40</v>
      </c>
      <c r="H173" s="57"/>
      <c r="I173" s="57"/>
      <c r="J173" s="57">
        <f>Table5[[#This Row],[العدد]]*Table5[[#This Row],[الفئة]]</f>
        <v>75</v>
      </c>
      <c r="K17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</v>
      </c>
      <c r="L173" s="57"/>
      <c r="M173" s="57">
        <f>Table5[[#This Row],[الاجمالي]]-Table5[[#This Row],[المبلغ المدفوع]]</f>
        <v>3000</v>
      </c>
      <c r="N173" s="60"/>
    </row>
    <row r="174" spans="1:14" hidden="1" x14ac:dyDescent="0.3">
      <c r="A174" s="52">
        <f t="shared" si="0"/>
        <v>171</v>
      </c>
      <c r="B174" s="63" t="s">
        <v>89</v>
      </c>
      <c r="C174" s="56">
        <v>45322</v>
      </c>
      <c r="D174" s="55">
        <v>264</v>
      </c>
      <c r="E174" s="57">
        <v>10</v>
      </c>
      <c r="F174" s="59">
        <v>10</v>
      </c>
      <c r="G174" s="57">
        <v>39</v>
      </c>
      <c r="H174" s="57"/>
      <c r="I174" s="57"/>
      <c r="J174" s="57">
        <f>Table5[[#This Row],[العدد]]*Table5[[#This Row],[الفئة]]</f>
        <v>100</v>
      </c>
      <c r="K17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3900</v>
      </c>
      <c r="L174" s="57"/>
      <c r="M174" s="57">
        <f>Table5[[#This Row],[الاجمالي]]-Table5[[#This Row],[المبلغ المدفوع]]</f>
        <v>3900</v>
      </c>
      <c r="N174" s="60"/>
    </row>
    <row r="175" spans="1:14" hidden="1" x14ac:dyDescent="0.3">
      <c r="A175" s="52">
        <f t="shared" si="0"/>
        <v>172</v>
      </c>
      <c r="B175" s="63" t="s">
        <v>89</v>
      </c>
      <c r="C175" s="56">
        <v>45322</v>
      </c>
      <c r="D175" s="55">
        <v>264</v>
      </c>
      <c r="E175" s="57">
        <v>2000</v>
      </c>
      <c r="F175" s="59">
        <v>0.8</v>
      </c>
      <c r="G175" s="57">
        <v>38</v>
      </c>
      <c r="H175" s="57"/>
      <c r="I175" s="57"/>
      <c r="J175" s="57">
        <f>Table5[[#This Row],[العدد]]*Table5[[#This Row],[الفئة]]</f>
        <v>1600</v>
      </c>
      <c r="K17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76000</v>
      </c>
      <c r="L175" s="57">
        <v>85000</v>
      </c>
      <c r="M175" s="57">
        <f>Table5[[#This Row],[الاجمالي]]-Table5[[#This Row],[المبلغ المدفوع]]</f>
        <v>-9000</v>
      </c>
      <c r="N175" s="60"/>
    </row>
    <row r="176" spans="1:14" hidden="1" x14ac:dyDescent="0.3">
      <c r="A176" s="52">
        <f t="shared" si="0"/>
        <v>173</v>
      </c>
      <c r="B176" s="63"/>
      <c r="C176" s="56"/>
      <c r="D176" s="55"/>
      <c r="E176" s="57"/>
      <c r="F176" s="59"/>
      <c r="G176" s="57"/>
      <c r="H176" s="57"/>
      <c r="I176" s="57"/>
      <c r="J176" s="57">
        <f>Table5[[#This Row],[العدد]]*Table5[[#This Row],[الفئة]]</f>
        <v>0</v>
      </c>
      <c r="K17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76" s="57"/>
      <c r="M176" s="57">
        <f>Table5[[#This Row],[الاجمالي]]-Table5[[#This Row],[المبلغ المدفوع]]</f>
        <v>0</v>
      </c>
      <c r="N176" s="60"/>
    </row>
    <row r="177" spans="1:14" hidden="1" x14ac:dyDescent="0.3">
      <c r="A177" s="52">
        <f t="shared" si="0"/>
        <v>174</v>
      </c>
      <c r="B177" s="63" t="s">
        <v>90</v>
      </c>
      <c r="C177" s="56">
        <v>45322</v>
      </c>
      <c r="D177" s="55">
        <v>265</v>
      </c>
      <c r="E177" s="57">
        <v>120</v>
      </c>
      <c r="F177" s="59">
        <v>5</v>
      </c>
      <c r="G177" s="57">
        <v>40</v>
      </c>
      <c r="H177" s="57"/>
      <c r="I177" s="57"/>
      <c r="J177" s="57">
        <f>Table5[[#This Row],[العدد]]*Table5[[#This Row],[الفئة]]</f>
        <v>600</v>
      </c>
      <c r="K17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24000</v>
      </c>
      <c r="L177" s="57">
        <f>Table5[[#This Row],[الاجمالي]]</f>
        <v>24000</v>
      </c>
      <c r="M177" s="57">
        <f>Table5[[#This Row],[الاجمالي]]-Table5[[#This Row],[المبلغ المدفوع]]</f>
        <v>0</v>
      </c>
      <c r="N177" s="60"/>
    </row>
    <row r="178" spans="1:14" hidden="1" x14ac:dyDescent="0.3">
      <c r="A178" s="52">
        <f t="shared" si="0"/>
        <v>175</v>
      </c>
      <c r="B178" s="63" t="s">
        <v>90</v>
      </c>
      <c r="C178" s="56">
        <v>45322</v>
      </c>
      <c r="D178" s="55">
        <v>265</v>
      </c>
      <c r="E178" s="57">
        <v>36</v>
      </c>
      <c r="F178" s="59">
        <v>0.8</v>
      </c>
      <c r="G178" s="57">
        <v>38</v>
      </c>
      <c r="H178" s="57"/>
      <c r="I178" s="57"/>
      <c r="J178" s="57">
        <f>Table5[[#This Row],[العدد]]*Table5[[#This Row],[الفئة]]</f>
        <v>28.8</v>
      </c>
      <c r="K17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1368</v>
      </c>
      <c r="L178" s="57">
        <f>Table5[[#This Row],[الاجمالي]]</f>
        <v>1368</v>
      </c>
      <c r="M178" s="57">
        <f>Table5[[#This Row],[الاجمالي]]-Table5[[#This Row],[المبلغ المدفوع]]</f>
        <v>0</v>
      </c>
      <c r="N178" s="60"/>
    </row>
    <row r="179" spans="1:14" hidden="1" x14ac:dyDescent="0.3">
      <c r="A179" s="52">
        <f t="shared" si="0"/>
        <v>176</v>
      </c>
      <c r="B179" s="63"/>
      <c r="C179" s="56"/>
      <c r="D179" s="55"/>
      <c r="E179" s="57"/>
      <c r="F179" s="59"/>
      <c r="G179" s="57"/>
      <c r="H179" s="57"/>
      <c r="I179" s="57"/>
      <c r="J179" s="57">
        <f>Table5[[#This Row],[العدد]]*Table5[[#This Row],[الفئة]]</f>
        <v>0</v>
      </c>
      <c r="K17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79" s="57"/>
      <c r="M179" s="57">
        <f>Table5[[#This Row],[الاجمالي]]-Table5[[#This Row],[المبلغ المدفوع]]</f>
        <v>0</v>
      </c>
      <c r="N179" s="60"/>
    </row>
    <row r="180" spans="1:14" hidden="1" x14ac:dyDescent="0.3">
      <c r="A180" s="52">
        <f t="shared" si="0"/>
        <v>177</v>
      </c>
      <c r="B180" s="63" t="s">
        <v>28</v>
      </c>
      <c r="C180" s="56">
        <v>45322</v>
      </c>
      <c r="D180" s="55">
        <v>266</v>
      </c>
      <c r="E180" s="57">
        <v>18</v>
      </c>
      <c r="F180" s="59">
        <v>5</v>
      </c>
      <c r="G180" s="57">
        <v>40</v>
      </c>
      <c r="H180" s="57"/>
      <c r="I180" s="57"/>
      <c r="J180" s="57">
        <f>Table5[[#This Row],[العدد]]*Table5[[#This Row],[الفئة]]</f>
        <v>90</v>
      </c>
      <c r="K18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3600</v>
      </c>
      <c r="L180" s="57">
        <v>2900</v>
      </c>
      <c r="M180" s="57">
        <f>Table5[[#This Row],[الاجمالي]]-Table5[[#This Row],[المبلغ المدفوع]]</f>
        <v>700</v>
      </c>
      <c r="N180" s="60"/>
    </row>
    <row r="181" spans="1:14" hidden="1" x14ac:dyDescent="0.3">
      <c r="A181" s="52">
        <f t="shared" si="0"/>
        <v>178</v>
      </c>
      <c r="B181" s="63"/>
      <c r="C181" s="56"/>
      <c r="D181" s="55"/>
      <c r="E181" s="57"/>
      <c r="F181" s="59"/>
      <c r="G181" s="57"/>
      <c r="H181" s="57"/>
      <c r="I181" s="57"/>
      <c r="J181" s="57">
        <f>Table5[[#This Row],[العدد]]*Table5[[#This Row],[الفئة]]</f>
        <v>0</v>
      </c>
      <c r="K18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81" s="57"/>
      <c r="M181" s="57">
        <f>Table5[[#This Row],[الاجمالي]]-Table5[[#This Row],[المبلغ المدفوع]]</f>
        <v>0</v>
      </c>
      <c r="N181" s="60"/>
    </row>
    <row r="182" spans="1:14" hidden="1" x14ac:dyDescent="0.3">
      <c r="A182" s="52">
        <f t="shared" si="0"/>
        <v>179</v>
      </c>
      <c r="B182" s="63" t="s">
        <v>91</v>
      </c>
      <c r="C182" s="56">
        <v>45323</v>
      </c>
      <c r="D182" s="55">
        <v>267</v>
      </c>
      <c r="E182" s="57">
        <v>20</v>
      </c>
      <c r="F182" s="59">
        <v>5</v>
      </c>
      <c r="G182" s="57">
        <v>40</v>
      </c>
      <c r="H182" s="57"/>
      <c r="I182" s="57"/>
      <c r="J182" s="57">
        <f>Table5[[#This Row],[العدد]]*Table5[[#This Row],[الفئة]]</f>
        <v>100</v>
      </c>
      <c r="K18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182" s="57">
        <f>Table5[[#This Row],[الاجمالي]]</f>
        <v>4000</v>
      </c>
      <c r="M182" s="57">
        <f>Table5[[#This Row],[الاجمالي]]-Table5[[#This Row],[المبلغ المدفوع]]</f>
        <v>0</v>
      </c>
      <c r="N182" s="60"/>
    </row>
    <row r="183" spans="1:14" hidden="1" x14ac:dyDescent="0.3">
      <c r="A183" s="52">
        <f t="shared" si="0"/>
        <v>180</v>
      </c>
      <c r="B183" s="63" t="s">
        <v>91</v>
      </c>
      <c r="C183" s="56">
        <v>45323</v>
      </c>
      <c r="D183" s="55">
        <v>267</v>
      </c>
      <c r="E183" s="57">
        <v>20</v>
      </c>
      <c r="F183" s="59">
        <v>1.6</v>
      </c>
      <c r="G183" s="57">
        <v>38</v>
      </c>
      <c r="H183" s="57"/>
      <c r="I183" s="57"/>
      <c r="J183" s="57">
        <f>Table5[[#This Row],[العدد]]*Table5[[#This Row],[الفئة]]</f>
        <v>32</v>
      </c>
      <c r="K18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183" s="57">
        <f>Table5[[#This Row],[الاجمالي]]</f>
        <v>1520</v>
      </c>
      <c r="M183" s="57">
        <f>Table5[[#This Row],[الاجمالي]]-Table5[[#This Row],[المبلغ المدفوع]]</f>
        <v>0</v>
      </c>
      <c r="N183" s="60"/>
    </row>
    <row r="184" spans="1:14" hidden="1" x14ac:dyDescent="0.3">
      <c r="A184" s="52">
        <f t="shared" si="0"/>
        <v>181</v>
      </c>
      <c r="B184" s="63" t="s">
        <v>91</v>
      </c>
      <c r="C184" s="56">
        <v>45323</v>
      </c>
      <c r="D184" s="55">
        <v>267</v>
      </c>
      <c r="E184" s="57">
        <v>60</v>
      </c>
      <c r="F184" s="59">
        <v>0.8</v>
      </c>
      <c r="G184" s="57">
        <v>38</v>
      </c>
      <c r="H184" s="57"/>
      <c r="I184" s="57"/>
      <c r="J184" s="57">
        <f>Table5[[#This Row],[العدد]]*Table5[[#This Row],[الفئة]]</f>
        <v>48</v>
      </c>
      <c r="K18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2280</v>
      </c>
      <c r="L184" s="57">
        <f>Table5[[#This Row],[الاجمالي]]</f>
        <v>2280</v>
      </c>
      <c r="M184" s="57">
        <f>Table5[[#This Row],[الاجمالي]]-Table5[[#This Row],[المبلغ المدفوع]]</f>
        <v>0</v>
      </c>
      <c r="N184" s="60"/>
    </row>
    <row r="185" spans="1:14" hidden="1" x14ac:dyDescent="0.3">
      <c r="A185" s="52">
        <f t="shared" si="0"/>
        <v>182</v>
      </c>
      <c r="B185" s="63" t="s">
        <v>91</v>
      </c>
      <c r="C185" s="56">
        <v>45323</v>
      </c>
      <c r="D185" s="55">
        <v>267</v>
      </c>
      <c r="E185" s="57">
        <v>20</v>
      </c>
      <c r="F185" s="59">
        <v>5</v>
      </c>
      <c r="G185" s="57">
        <v>44</v>
      </c>
      <c r="H185" s="57"/>
      <c r="I185" s="57"/>
      <c r="J185" s="57">
        <f>Table5[[#This Row],[العدد]]*Table5[[#This Row],[الفئة]]</f>
        <v>100</v>
      </c>
      <c r="K18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4400</v>
      </c>
      <c r="L185" s="57">
        <v>4200</v>
      </c>
      <c r="M185" s="62">
        <f>Table5[[#This Row],[الاجمالي]]-Table5[[#This Row],[المبلغ المدفوع]]</f>
        <v>200</v>
      </c>
      <c r="N185" s="60"/>
    </row>
    <row r="186" spans="1:14" hidden="1" x14ac:dyDescent="0.3">
      <c r="A186" s="52">
        <f t="shared" si="0"/>
        <v>183</v>
      </c>
      <c r="B186" s="63" t="s">
        <v>91</v>
      </c>
      <c r="C186" s="56">
        <v>45323</v>
      </c>
      <c r="D186" s="55">
        <v>267</v>
      </c>
      <c r="E186" s="57">
        <v>20</v>
      </c>
      <c r="F186" s="59">
        <v>1.6</v>
      </c>
      <c r="G186" s="57">
        <v>40</v>
      </c>
      <c r="H186" s="57"/>
      <c r="I186" s="57"/>
      <c r="J186" s="57">
        <f>Table5[[#This Row],[العدد]]*Table5[[#This Row],[الفئة]]</f>
        <v>32</v>
      </c>
      <c r="K18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1600</v>
      </c>
      <c r="L186" s="57">
        <f>Table5[[#This Row],[الاجمالي]]</f>
        <v>1600</v>
      </c>
      <c r="M186" s="57">
        <f>Table5[[#This Row],[الاجمالي]]-Table5[[#This Row],[المبلغ المدفوع]]</f>
        <v>0</v>
      </c>
      <c r="N186" s="60"/>
    </row>
    <row r="187" spans="1:14" hidden="1" x14ac:dyDescent="0.3">
      <c r="A187" s="52">
        <f t="shared" si="0"/>
        <v>184</v>
      </c>
      <c r="B187" s="63" t="s">
        <v>91</v>
      </c>
      <c r="C187" s="56">
        <v>45323</v>
      </c>
      <c r="D187" s="55">
        <v>267</v>
      </c>
      <c r="E187" s="57">
        <v>36</v>
      </c>
      <c r="F187" s="59">
        <v>0.8</v>
      </c>
      <c r="G187" s="57">
        <v>40</v>
      </c>
      <c r="H187" s="57"/>
      <c r="I187" s="57"/>
      <c r="J187" s="57">
        <f>Table5[[#This Row],[العدد]]*Table5[[#This Row],[الفئة]]</f>
        <v>28.8</v>
      </c>
      <c r="K18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1440</v>
      </c>
      <c r="L187" s="57">
        <f>Table5[[#This Row],[الاجمالي]]</f>
        <v>1440</v>
      </c>
      <c r="M187" s="57">
        <f>Table5[[#This Row],[الاجمالي]]-Table5[[#This Row],[المبلغ المدفوع]]</f>
        <v>0</v>
      </c>
      <c r="N187" s="60"/>
    </row>
    <row r="188" spans="1:14" hidden="1" x14ac:dyDescent="0.3">
      <c r="A188" s="52">
        <f t="shared" si="0"/>
        <v>185</v>
      </c>
      <c r="B188" s="63"/>
      <c r="C188" s="56"/>
      <c r="D188" s="55"/>
      <c r="E188" s="57"/>
      <c r="F188" s="59"/>
      <c r="G188" s="57"/>
      <c r="H188" s="57"/>
      <c r="I188" s="57"/>
      <c r="J188" s="57">
        <f>Table5[[#This Row],[العدد]]*Table5[[#This Row],[الفئة]]</f>
        <v>0</v>
      </c>
      <c r="K18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88" s="57"/>
      <c r="M188" s="57">
        <f>Table5[[#This Row],[الاجمالي]]-Table5[[#This Row],[المبلغ المدفوع]]</f>
        <v>0</v>
      </c>
      <c r="N188" s="60"/>
    </row>
    <row r="189" spans="1:14" hidden="1" x14ac:dyDescent="0.3">
      <c r="A189" s="52">
        <f t="shared" si="0"/>
        <v>186</v>
      </c>
      <c r="B189" s="63" t="s">
        <v>120</v>
      </c>
      <c r="C189" s="56">
        <v>45325</v>
      </c>
      <c r="D189" s="55">
        <v>268</v>
      </c>
      <c r="E189" s="57">
        <v>1400</v>
      </c>
      <c r="F189" s="59">
        <v>5</v>
      </c>
      <c r="G189" s="57">
        <v>40</v>
      </c>
      <c r="H189" s="57"/>
      <c r="I189" s="57">
        <v>500</v>
      </c>
      <c r="J189" s="57">
        <f>Table5[[#This Row],[العدد]]*Table5[[#This Row],[الفئة]]</f>
        <v>7000</v>
      </c>
      <c r="K18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280500</v>
      </c>
      <c r="L189" s="57">
        <v>215000</v>
      </c>
      <c r="M189" s="62">
        <f>Table5[[#This Row],[الاجمالي]]-Table5[[#This Row],[المبلغ المدفوع]]</f>
        <v>65500</v>
      </c>
      <c r="N189" s="60" t="s">
        <v>93</v>
      </c>
    </row>
    <row r="190" spans="1:14" hidden="1" x14ac:dyDescent="0.3">
      <c r="A190" s="52">
        <f t="shared" si="0"/>
        <v>187</v>
      </c>
      <c r="B190" s="63" t="s">
        <v>120</v>
      </c>
      <c r="C190" s="56">
        <v>45325</v>
      </c>
      <c r="D190" s="55">
        <v>268</v>
      </c>
      <c r="E190" s="57">
        <v>300</v>
      </c>
      <c r="F190" s="59">
        <v>0.8</v>
      </c>
      <c r="G190" s="57">
        <v>38</v>
      </c>
      <c r="H190" s="57"/>
      <c r="I190" s="57"/>
      <c r="J190" s="57">
        <f>Table5[[#This Row],[العدد]]*Table5[[#This Row],[الفئة]]</f>
        <v>240</v>
      </c>
      <c r="K19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11400</v>
      </c>
      <c r="L190" s="57"/>
      <c r="M190" s="62">
        <f>Table5[[#This Row],[الاجمالي]]-Table5[[#This Row],[المبلغ المدفوع]]</f>
        <v>11400</v>
      </c>
      <c r="N190" s="60"/>
    </row>
    <row r="191" spans="1:14" hidden="1" x14ac:dyDescent="0.3">
      <c r="A191" s="52">
        <f t="shared" si="0"/>
        <v>188</v>
      </c>
      <c r="B191" s="63"/>
      <c r="C191" s="56"/>
      <c r="D191" s="55"/>
      <c r="E191" s="57"/>
      <c r="F191" s="59"/>
      <c r="G191" s="57"/>
      <c r="H191" s="57"/>
      <c r="I191" s="57"/>
      <c r="J191" s="57">
        <f>Table5[[#This Row],[العدد]]*Table5[[#This Row],[الفئة]]</f>
        <v>0</v>
      </c>
      <c r="K19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91" s="57"/>
      <c r="M191" s="57">
        <f>Table5[[#This Row],[الاجمالي]]-Table5[[#This Row],[المبلغ المدفوع]]</f>
        <v>0</v>
      </c>
      <c r="N191" s="60">
        <f>2000/5</f>
        <v>400</v>
      </c>
    </row>
    <row r="192" spans="1:14" hidden="1" x14ac:dyDescent="0.3">
      <c r="A192" s="52">
        <f t="shared" si="0"/>
        <v>189</v>
      </c>
      <c r="B192" s="63" t="s">
        <v>83</v>
      </c>
      <c r="C192" s="56">
        <v>45323</v>
      </c>
      <c r="D192" s="55">
        <v>269</v>
      </c>
      <c r="E192" s="57">
        <v>6761</v>
      </c>
      <c r="F192" s="59">
        <v>1</v>
      </c>
      <c r="G192" s="57">
        <v>32</v>
      </c>
      <c r="H192" s="57"/>
      <c r="I192" s="57"/>
      <c r="J192" s="57">
        <f>Table5[[#This Row],[العدد]]*Table5[[#This Row],[الفئة]]</f>
        <v>6761</v>
      </c>
      <c r="K19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216352</v>
      </c>
      <c r="L192" s="57"/>
      <c r="M192" s="57">
        <f>Table5[[#This Row],[الاجمالي]]-Table5[[#This Row],[المبلغ المدفوع]]</f>
        <v>216352</v>
      </c>
      <c r="N192" s="60"/>
    </row>
    <row r="193" spans="1:14" hidden="1" x14ac:dyDescent="0.3">
      <c r="A193" s="52">
        <f t="shared" si="0"/>
        <v>190</v>
      </c>
      <c r="B193" s="63"/>
      <c r="C193" s="56"/>
      <c r="D193" s="55"/>
      <c r="E193" s="57"/>
      <c r="F193" s="59"/>
      <c r="G193" s="57"/>
      <c r="H193" s="57"/>
      <c r="I193" s="57"/>
      <c r="J193" s="57">
        <f>Table5[[#This Row],[العدد]]*Table5[[#This Row],[الفئة]]</f>
        <v>0</v>
      </c>
      <c r="K19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93" s="57"/>
      <c r="M193" s="57">
        <f>Table5[[#This Row],[الاجمالي]]-Table5[[#This Row],[المبلغ المدفوع]]</f>
        <v>0</v>
      </c>
      <c r="N193" s="60"/>
    </row>
    <row r="194" spans="1:14" hidden="1" x14ac:dyDescent="0.3">
      <c r="A194" s="52">
        <f t="shared" si="0"/>
        <v>191</v>
      </c>
      <c r="B194" s="63" t="s">
        <v>94</v>
      </c>
      <c r="C194" s="56">
        <v>45326</v>
      </c>
      <c r="D194" s="55">
        <v>270</v>
      </c>
      <c r="E194" s="57">
        <v>10</v>
      </c>
      <c r="F194" s="59">
        <v>5</v>
      </c>
      <c r="G194" s="57">
        <v>40</v>
      </c>
      <c r="H194" s="57"/>
      <c r="I194" s="57"/>
      <c r="J194" s="57">
        <f>Table5[[#This Row],[العدد]]*Table5[[#This Row],[الفئة]]</f>
        <v>50</v>
      </c>
      <c r="K19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</v>
      </c>
      <c r="L194" s="57"/>
      <c r="M194" s="57">
        <f>Table5[[#This Row],[الاجمالي]]-Table5[[#This Row],[المبلغ المدفوع]]</f>
        <v>2000</v>
      </c>
      <c r="N194" s="60"/>
    </row>
    <row r="195" spans="1:14" hidden="1" x14ac:dyDescent="0.3">
      <c r="A195" s="52">
        <f t="shared" si="0"/>
        <v>192</v>
      </c>
      <c r="B195" s="63" t="s">
        <v>94</v>
      </c>
      <c r="C195" s="56">
        <v>45326</v>
      </c>
      <c r="D195" s="55">
        <v>270</v>
      </c>
      <c r="E195" s="57">
        <v>10</v>
      </c>
      <c r="F195" s="59">
        <v>1.6</v>
      </c>
      <c r="G195" s="57">
        <v>38</v>
      </c>
      <c r="H195" s="57"/>
      <c r="I195" s="57"/>
      <c r="J195" s="57">
        <f>Table5[[#This Row],[العدد]]*Table5[[#This Row],[الفئة]]</f>
        <v>16</v>
      </c>
      <c r="K19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195" s="57"/>
      <c r="M195" s="57">
        <f>Table5[[#This Row],[الاجمالي]]-Table5[[#This Row],[المبلغ المدفوع]]</f>
        <v>760</v>
      </c>
      <c r="N195" s="60"/>
    </row>
    <row r="196" spans="1:14" hidden="1" x14ac:dyDescent="0.3">
      <c r="A196" s="52">
        <f t="shared" si="0"/>
        <v>193</v>
      </c>
      <c r="B196" s="63" t="s">
        <v>94</v>
      </c>
      <c r="C196" s="56">
        <v>45326</v>
      </c>
      <c r="D196" s="55">
        <v>270</v>
      </c>
      <c r="E196" s="57">
        <v>12</v>
      </c>
      <c r="F196" s="59">
        <v>0.8</v>
      </c>
      <c r="G196" s="57">
        <v>38</v>
      </c>
      <c r="H196" s="57"/>
      <c r="I196" s="57"/>
      <c r="J196" s="57">
        <f>Table5[[#This Row],[العدد]]*Table5[[#This Row],[الفئة]]</f>
        <v>9.6000000000000014</v>
      </c>
      <c r="K19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456</v>
      </c>
      <c r="L196" s="57"/>
      <c r="M196" s="57">
        <f>Table5[[#This Row],[الاجمالي]]-Table5[[#This Row],[المبلغ المدفوع]]</f>
        <v>456</v>
      </c>
      <c r="N196" s="60"/>
    </row>
    <row r="197" spans="1:14" hidden="1" x14ac:dyDescent="0.3">
      <c r="A197" s="52">
        <f t="shared" si="0"/>
        <v>194</v>
      </c>
      <c r="B197" s="63"/>
      <c r="C197" s="56"/>
      <c r="D197" s="55"/>
      <c r="E197" s="57"/>
      <c r="F197" s="59"/>
      <c r="G197" s="57"/>
      <c r="H197" s="57"/>
      <c r="I197" s="57"/>
      <c r="J197" s="57">
        <f>Table5[[#This Row],[العدد]]*Table5[[#This Row],[الفئة]]</f>
        <v>0</v>
      </c>
      <c r="K19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197" s="57"/>
      <c r="M197" s="57">
        <f>Table5[[#This Row],[الاجمالي]]-Table5[[#This Row],[المبلغ المدفوع]]</f>
        <v>0</v>
      </c>
      <c r="N197" s="60"/>
    </row>
    <row r="198" spans="1:14" hidden="1" x14ac:dyDescent="0.3">
      <c r="A198" s="52">
        <f t="shared" si="0"/>
        <v>195</v>
      </c>
      <c r="B198" s="63" t="s">
        <v>48</v>
      </c>
      <c r="C198" s="56">
        <v>45326</v>
      </c>
      <c r="D198" s="55">
        <v>271</v>
      </c>
      <c r="E198" s="57">
        <v>300</v>
      </c>
      <c r="F198" s="59">
        <v>5</v>
      </c>
      <c r="G198" s="57">
        <v>40</v>
      </c>
      <c r="H198" s="57"/>
      <c r="I198" s="57"/>
      <c r="J198" s="57">
        <f>Table5[[#This Row],[العدد]]*Table5[[#This Row],[الفئة]]</f>
        <v>1500</v>
      </c>
      <c r="K19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60000</v>
      </c>
      <c r="L198" s="57"/>
      <c r="M198" s="57">
        <f>Table5[[#This Row],[الاجمالي]]-Table5[[#This Row],[المبلغ المدفوع]]</f>
        <v>60000</v>
      </c>
      <c r="N198" s="60"/>
    </row>
    <row r="199" spans="1:14" hidden="1" x14ac:dyDescent="0.3">
      <c r="A199" s="52">
        <f t="shared" si="0"/>
        <v>196</v>
      </c>
      <c r="B199" s="63" t="s">
        <v>48</v>
      </c>
      <c r="C199" s="56">
        <v>45326</v>
      </c>
      <c r="D199" s="55">
        <v>271</v>
      </c>
      <c r="E199" s="57">
        <v>50</v>
      </c>
      <c r="F199" s="59">
        <v>0.8</v>
      </c>
      <c r="G199" s="57">
        <v>38</v>
      </c>
      <c r="H199" s="57"/>
      <c r="I199" s="57"/>
      <c r="J199" s="57">
        <f>Table5[[#This Row],[العدد]]*Table5[[#This Row],[الفئة]]</f>
        <v>40</v>
      </c>
      <c r="K19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</v>
      </c>
      <c r="L199" s="57"/>
      <c r="M199" s="57">
        <f>Table5[[#This Row],[الاجمالي]]-Table5[[#This Row],[المبلغ المدفوع]]</f>
        <v>1900</v>
      </c>
      <c r="N199" s="60"/>
    </row>
    <row r="200" spans="1:14" hidden="1" x14ac:dyDescent="0.3">
      <c r="A200" s="52">
        <f t="shared" si="0"/>
        <v>197</v>
      </c>
      <c r="B200" s="63" t="s">
        <v>48</v>
      </c>
      <c r="C200" s="56">
        <v>45326</v>
      </c>
      <c r="D200" s="55">
        <v>271</v>
      </c>
      <c r="E200" s="57">
        <v>22</v>
      </c>
      <c r="F200" s="59">
        <v>1.6</v>
      </c>
      <c r="G200" s="57">
        <v>38</v>
      </c>
      <c r="H200" s="57"/>
      <c r="I200" s="57"/>
      <c r="J200" s="57">
        <f>Table5[[#This Row],[العدد]]*Table5[[#This Row],[الفئة]]</f>
        <v>35.200000000000003</v>
      </c>
      <c r="K20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1672</v>
      </c>
      <c r="L200" s="57"/>
      <c r="M200" s="57">
        <f>Table5[[#This Row],[الاجمالي]]-Table5[[#This Row],[المبلغ المدفوع]]</f>
        <v>1672</v>
      </c>
      <c r="N200" s="60"/>
    </row>
    <row r="201" spans="1:14" hidden="1" x14ac:dyDescent="0.3">
      <c r="A201" s="52">
        <f t="shared" ref="A201:A235" si="1">A200+1</f>
        <v>198</v>
      </c>
      <c r="B201" s="63"/>
      <c r="C201" s="56"/>
      <c r="D201" s="55"/>
      <c r="E201" s="57"/>
      <c r="F201" s="59"/>
      <c r="G201" s="57"/>
      <c r="H201" s="57"/>
      <c r="I201" s="57"/>
      <c r="J201" s="57">
        <f>Table5[[#This Row],[العدد]]*Table5[[#This Row],[الفئة]]</f>
        <v>0</v>
      </c>
      <c r="K20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01" s="57"/>
      <c r="M201" s="57">
        <f>Table5[[#This Row],[الاجمالي]]-Table5[[#This Row],[المبلغ المدفوع]]</f>
        <v>0</v>
      </c>
      <c r="N201" s="60"/>
    </row>
    <row r="202" spans="1:14" hidden="1" x14ac:dyDescent="0.3">
      <c r="A202" s="52">
        <f t="shared" si="1"/>
        <v>199</v>
      </c>
      <c r="B202" s="63" t="s">
        <v>95</v>
      </c>
      <c r="C202" s="56">
        <v>45326</v>
      </c>
      <c r="D202" s="55">
        <v>272</v>
      </c>
      <c r="E202" s="57">
        <v>10</v>
      </c>
      <c r="F202" s="59">
        <v>5</v>
      </c>
      <c r="G202" s="57">
        <v>40</v>
      </c>
      <c r="H202" s="57"/>
      <c r="I202" s="57"/>
      <c r="J202" s="57">
        <f>Table5[[#This Row],[العدد]]*Table5[[#This Row],[الفئة]]</f>
        <v>50</v>
      </c>
      <c r="K20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</v>
      </c>
      <c r="L202" s="57">
        <f>Table5[[#This Row],[الاجمالي]]</f>
        <v>2000</v>
      </c>
      <c r="M202" s="57">
        <f>Table5[[#This Row],[الاجمالي]]-Table5[[#This Row],[المبلغ المدفوع]]</f>
        <v>0</v>
      </c>
      <c r="N202" s="60"/>
    </row>
    <row r="203" spans="1:14" hidden="1" x14ac:dyDescent="0.3">
      <c r="A203" s="52">
        <f t="shared" si="1"/>
        <v>200</v>
      </c>
      <c r="B203" s="63" t="s">
        <v>95</v>
      </c>
      <c r="C203" s="56">
        <v>45326</v>
      </c>
      <c r="D203" s="55">
        <v>272</v>
      </c>
      <c r="E203" s="57">
        <v>5</v>
      </c>
      <c r="F203" s="59">
        <v>5</v>
      </c>
      <c r="G203" s="57">
        <v>44</v>
      </c>
      <c r="H203" s="57"/>
      <c r="I203" s="57"/>
      <c r="J203" s="57">
        <f>Table5[[#This Row],[العدد]]*Table5[[#This Row],[الفئة]]</f>
        <v>25</v>
      </c>
      <c r="K20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1100</v>
      </c>
      <c r="L203" s="57">
        <f>Table5[[#This Row],[الاجمالي]]</f>
        <v>1100</v>
      </c>
      <c r="M203" s="57">
        <f>Table5[[#This Row],[الاجمالي]]-Table5[[#This Row],[المبلغ المدفوع]]</f>
        <v>0</v>
      </c>
      <c r="N203" s="60"/>
    </row>
    <row r="204" spans="1:14" hidden="1" x14ac:dyDescent="0.3">
      <c r="A204" s="52">
        <f t="shared" si="1"/>
        <v>201</v>
      </c>
      <c r="B204" s="63" t="s">
        <v>95</v>
      </c>
      <c r="C204" s="56">
        <v>45326</v>
      </c>
      <c r="D204" s="55">
        <v>272</v>
      </c>
      <c r="E204" s="57">
        <v>24</v>
      </c>
      <c r="F204" s="59">
        <v>0.8</v>
      </c>
      <c r="G204" s="57">
        <v>38</v>
      </c>
      <c r="H204" s="57"/>
      <c r="I204" s="57"/>
      <c r="J204" s="57">
        <f>Table5[[#This Row],[العدد]]*Table5[[#This Row],[الفئة]]</f>
        <v>19.200000000000003</v>
      </c>
      <c r="K20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912</v>
      </c>
      <c r="L204" s="57">
        <f>Table5[[#This Row],[الاجمالي]]</f>
        <v>912</v>
      </c>
      <c r="M204" s="57">
        <f>Table5[[#This Row],[الاجمالي]]-Table5[[#This Row],[المبلغ المدفوع]]</f>
        <v>0</v>
      </c>
      <c r="N204" s="60"/>
    </row>
    <row r="205" spans="1:14" hidden="1" x14ac:dyDescent="0.3">
      <c r="A205" s="52">
        <f t="shared" si="1"/>
        <v>202</v>
      </c>
      <c r="B205" s="63"/>
      <c r="C205" s="56"/>
      <c r="D205" s="55"/>
      <c r="E205" s="57"/>
      <c r="F205" s="59"/>
      <c r="G205" s="57"/>
      <c r="H205" s="57"/>
      <c r="I205" s="57"/>
      <c r="J205" s="57">
        <f>Table5[[#This Row],[العدد]]*Table5[[#This Row],[الفئة]]</f>
        <v>0</v>
      </c>
      <c r="K20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05" s="57"/>
      <c r="M205" s="57">
        <f>Table5[[#This Row],[الاجمالي]]-Table5[[#This Row],[المبلغ المدفوع]]</f>
        <v>0</v>
      </c>
      <c r="N205" s="60"/>
    </row>
    <row r="206" spans="1:14" hidden="1" x14ac:dyDescent="0.3">
      <c r="A206" s="52">
        <f t="shared" si="1"/>
        <v>203</v>
      </c>
      <c r="B206" s="63" t="s">
        <v>19</v>
      </c>
      <c r="C206" s="56">
        <v>45326</v>
      </c>
      <c r="D206" s="55">
        <v>273</v>
      </c>
      <c r="E206" s="57">
        <v>500</v>
      </c>
      <c r="F206" s="59">
        <v>5</v>
      </c>
      <c r="G206" s="57">
        <v>40</v>
      </c>
      <c r="H206" s="57"/>
      <c r="I206" s="57">
        <v>250</v>
      </c>
      <c r="J206" s="57">
        <f>Table5[[#This Row],[العدد]]*Table5[[#This Row],[الفئة]]</f>
        <v>2500</v>
      </c>
      <c r="K20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100250</v>
      </c>
      <c r="L206" s="57"/>
      <c r="M206" s="57">
        <f>Table5[[#This Row],[الاجمالي]]-Table5[[#This Row],[المبلغ المدفوع]]</f>
        <v>100250</v>
      </c>
      <c r="N206" s="60"/>
    </row>
    <row r="207" spans="1:14" hidden="1" x14ac:dyDescent="0.3">
      <c r="A207" s="52">
        <f t="shared" si="1"/>
        <v>204</v>
      </c>
      <c r="B207" s="63"/>
      <c r="C207" s="56"/>
      <c r="D207" s="55"/>
      <c r="E207" s="57"/>
      <c r="F207" s="59"/>
      <c r="G207" s="57"/>
      <c r="H207" s="57"/>
      <c r="I207" s="57"/>
      <c r="J207" s="57">
        <f>Table5[[#This Row],[العدد]]*Table5[[#This Row],[الفئة]]</f>
        <v>0</v>
      </c>
      <c r="K20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07" s="57"/>
      <c r="M207" s="57">
        <f>Table5[[#This Row],[الاجمالي]]-Table5[[#This Row],[المبلغ المدفوع]]</f>
        <v>0</v>
      </c>
      <c r="N207" s="60"/>
    </row>
    <row r="208" spans="1:14" hidden="1" x14ac:dyDescent="0.3">
      <c r="A208" s="52">
        <f t="shared" si="1"/>
        <v>205</v>
      </c>
      <c r="B208" s="63" t="s">
        <v>27</v>
      </c>
      <c r="C208" s="56">
        <v>45326</v>
      </c>
      <c r="D208" s="55">
        <v>274</v>
      </c>
      <c r="E208" s="57">
        <v>2000</v>
      </c>
      <c r="F208" s="59">
        <v>0.8</v>
      </c>
      <c r="G208" s="57">
        <v>38</v>
      </c>
      <c r="H208" s="57"/>
      <c r="I208" s="57">
        <v>500</v>
      </c>
      <c r="J208" s="57">
        <f>Table5[[#This Row],[العدد]]*Table5[[#This Row],[الفئة]]</f>
        <v>1600</v>
      </c>
      <c r="K20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76500</v>
      </c>
      <c r="L208" s="57"/>
      <c r="M208" s="57">
        <f>Table5[[#This Row],[الاجمالي]]-Table5[[#This Row],[المبلغ المدفوع]]</f>
        <v>76500</v>
      </c>
      <c r="N208" s="60"/>
    </row>
    <row r="209" spans="1:14" hidden="1" x14ac:dyDescent="0.3">
      <c r="A209" s="52">
        <f t="shared" si="1"/>
        <v>206</v>
      </c>
      <c r="B209" s="63" t="s">
        <v>27</v>
      </c>
      <c r="C209" s="56">
        <v>45326</v>
      </c>
      <c r="D209" s="55">
        <v>274</v>
      </c>
      <c r="E209" s="57">
        <v>1000</v>
      </c>
      <c r="F209" s="59">
        <v>1.6</v>
      </c>
      <c r="G209" s="57">
        <v>38</v>
      </c>
      <c r="H209" s="57"/>
      <c r="I209" s="57"/>
      <c r="J209" s="57">
        <f>Table5[[#This Row],[العدد]]*Table5[[#This Row],[الفئة]]</f>
        <v>1600</v>
      </c>
      <c r="K20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76000</v>
      </c>
      <c r="L209" s="57"/>
      <c r="M209" s="57">
        <f>Table5[[#This Row],[الاجمالي]]-Table5[[#This Row],[المبلغ المدفوع]]</f>
        <v>76000</v>
      </c>
      <c r="N209" s="60"/>
    </row>
    <row r="210" spans="1:14" hidden="1" x14ac:dyDescent="0.3">
      <c r="A210" s="52">
        <f t="shared" si="1"/>
        <v>207</v>
      </c>
      <c r="B210" s="63" t="s">
        <v>27</v>
      </c>
      <c r="C210" s="56">
        <v>45326</v>
      </c>
      <c r="D210" s="55">
        <v>274</v>
      </c>
      <c r="E210" s="57">
        <v>400</v>
      </c>
      <c r="F210" s="59">
        <v>5</v>
      </c>
      <c r="G210" s="57">
        <v>40</v>
      </c>
      <c r="H210" s="57"/>
      <c r="I210" s="57"/>
      <c r="J210" s="57">
        <f>Table5[[#This Row],[العدد]]*Table5[[#This Row],[الفئة]]</f>
        <v>2000</v>
      </c>
      <c r="K21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80000</v>
      </c>
      <c r="L210" s="57"/>
      <c r="M210" s="57">
        <f>Table5[[#This Row],[الاجمالي]]-Table5[[#This Row],[المبلغ المدفوع]]</f>
        <v>80000</v>
      </c>
      <c r="N210" s="60"/>
    </row>
    <row r="211" spans="1:14" hidden="1" x14ac:dyDescent="0.3">
      <c r="A211" s="52">
        <f t="shared" si="1"/>
        <v>208</v>
      </c>
      <c r="B211" s="63"/>
      <c r="C211" s="56"/>
      <c r="D211" s="55"/>
      <c r="E211" s="57"/>
      <c r="F211" s="59"/>
      <c r="G211" s="57"/>
      <c r="H211" s="57"/>
      <c r="I211" s="57"/>
      <c r="J211" s="57">
        <f>Table5[[#This Row],[العدد]]*Table5[[#This Row],[الفئة]]</f>
        <v>0</v>
      </c>
      <c r="K21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11" s="57"/>
      <c r="M211" s="57">
        <f>Table5[[#This Row],[الاجمالي]]-Table5[[#This Row],[المبلغ المدفوع]]</f>
        <v>0</v>
      </c>
      <c r="N211" s="60"/>
    </row>
    <row r="212" spans="1:14" hidden="1" x14ac:dyDescent="0.3">
      <c r="A212" s="52">
        <f t="shared" si="1"/>
        <v>209</v>
      </c>
      <c r="B212" s="55" t="s">
        <v>146</v>
      </c>
      <c r="C212" s="56">
        <v>45327</v>
      </c>
      <c r="D212" s="55">
        <v>275</v>
      </c>
      <c r="E212" s="57">
        <v>200</v>
      </c>
      <c r="F212" s="59">
        <v>5</v>
      </c>
      <c r="G212" s="57">
        <v>44</v>
      </c>
      <c r="H212" s="57"/>
      <c r="I212" s="57"/>
      <c r="J212" s="57">
        <f>Table5[[#This Row],[العدد]]*Table5[[#This Row],[الفئة]]</f>
        <v>1000</v>
      </c>
      <c r="K21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44000</v>
      </c>
      <c r="L212" s="57">
        <v>50850</v>
      </c>
      <c r="M212" s="57">
        <f>Table5[[#This Row],[الاجمالي]]-Table5[[#This Row],[المبلغ المدفوع]]</f>
        <v>-6850</v>
      </c>
      <c r="N212" s="60"/>
    </row>
    <row r="213" spans="1:14" hidden="1" x14ac:dyDescent="0.3">
      <c r="A213" s="52">
        <f t="shared" si="1"/>
        <v>210</v>
      </c>
      <c r="B213" s="55" t="s">
        <v>146</v>
      </c>
      <c r="C213" s="56">
        <v>45327</v>
      </c>
      <c r="D213" s="55">
        <v>275</v>
      </c>
      <c r="E213" s="57">
        <v>460</v>
      </c>
      <c r="F213" s="59">
        <v>0.8</v>
      </c>
      <c r="G213" s="57">
        <v>40</v>
      </c>
      <c r="H213" s="57"/>
      <c r="I213" s="57"/>
      <c r="J213" s="57">
        <f>Table5[[#This Row],[العدد]]*Table5[[#This Row],[الفئة]]</f>
        <v>368</v>
      </c>
      <c r="K21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18400</v>
      </c>
      <c r="L213" s="57"/>
      <c r="M213" s="57">
        <f>Table5[[#This Row],[الاجمالي]]-Table5[[#This Row],[المبلغ المدفوع]]</f>
        <v>18400</v>
      </c>
      <c r="N213" s="60"/>
    </row>
    <row r="214" spans="1:14" hidden="1" x14ac:dyDescent="0.3">
      <c r="A214" s="52">
        <f t="shared" si="1"/>
        <v>211</v>
      </c>
      <c r="B214" s="55" t="s">
        <v>146</v>
      </c>
      <c r="C214" s="56">
        <v>45327</v>
      </c>
      <c r="D214" s="55">
        <v>275</v>
      </c>
      <c r="E214" s="57">
        <v>200</v>
      </c>
      <c r="F214" s="59">
        <v>1.6</v>
      </c>
      <c r="G214" s="57">
        <v>40</v>
      </c>
      <c r="H214" s="57"/>
      <c r="I214" s="57"/>
      <c r="J214" s="57">
        <f>Table5[[#This Row],[العدد]]*Table5[[#This Row],[الفئة]]</f>
        <v>320</v>
      </c>
      <c r="K21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16000</v>
      </c>
      <c r="L214" s="57"/>
      <c r="M214" s="57">
        <f>Table5[[#This Row],[الاجمالي]]-Table5[[#This Row],[المبلغ المدفوع]]</f>
        <v>16000</v>
      </c>
      <c r="N214" s="60"/>
    </row>
    <row r="215" spans="1:14" hidden="1" x14ac:dyDescent="0.3">
      <c r="A215" s="52">
        <f t="shared" si="1"/>
        <v>212</v>
      </c>
      <c r="B215" s="55" t="s">
        <v>146</v>
      </c>
      <c r="C215" s="56">
        <v>45327</v>
      </c>
      <c r="D215" s="55">
        <v>275</v>
      </c>
      <c r="E215" s="57">
        <v>243</v>
      </c>
      <c r="F215" s="59">
        <v>1</v>
      </c>
      <c r="G215" s="57">
        <v>43</v>
      </c>
      <c r="H215" s="57"/>
      <c r="I215" s="57"/>
      <c r="J215" s="57">
        <f>Table5[[#This Row],[العدد]]*Table5[[#This Row],[الفئة]]</f>
        <v>243</v>
      </c>
      <c r="K21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10449</v>
      </c>
      <c r="L215" s="57"/>
      <c r="M215" s="57">
        <f>Table5[[#This Row],[الاجمالي]]-Table5[[#This Row],[المبلغ المدفوع]]</f>
        <v>10449</v>
      </c>
      <c r="N215" s="60"/>
    </row>
    <row r="216" spans="1:14" hidden="1" x14ac:dyDescent="0.3">
      <c r="A216" s="52">
        <f t="shared" si="1"/>
        <v>213</v>
      </c>
      <c r="B216" s="63"/>
      <c r="C216" s="56"/>
      <c r="D216" s="55"/>
      <c r="E216" s="57"/>
      <c r="F216" s="59"/>
      <c r="G216" s="57"/>
      <c r="H216" s="57"/>
      <c r="I216" s="57"/>
      <c r="J216" s="57">
        <f>Table5[[#This Row],[العدد]]*Table5[[#This Row],[الفئة]]</f>
        <v>0</v>
      </c>
      <c r="K21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16" s="57"/>
      <c r="M216" s="57">
        <f>Table5[[#This Row],[الاجمالي]]-Table5[[#This Row],[المبلغ المدفوع]]</f>
        <v>0</v>
      </c>
      <c r="N216" s="60"/>
    </row>
    <row r="217" spans="1:14" hidden="1" x14ac:dyDescent="0.3">
      <c r="A217" s="52">
        <f t="shared" si="1"/>
        <v>214</v>
      </c>
      <c r="B217" s="63" t="s">
        <v>96</v>
      </c>
      <c r="C217" s="56">
        <v>45327</v>
      </c>
      <c r="D217" s="55">
        <v>276</v>
      </c>
      <c r="E217" s="57">
        <v>200</v>
      </c>
      <c r="F217" s="59">
        <v>5</v>
      </c>
      <c r="G217" s="57">
        <v>38</v>
      </c>
      <c r="H217" s="57"/>
      <c r="I217" s="57"/>
      <c r="J217" s="57">
        <f>Table5[[#This Row],[العدد]]*Table5[[#This Row],[الفئة]]</f>
        <v>1000</v>
      </c>
      <c r="K21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38000</v>
      </c>
      <c r="L217" s="57"/>
      <c r="M217" s="57">
        <f>Table5[[#This Row],[الاجمالي]]-Table5[[#This Row],[المبلغ المدفوع]]</f>
        <v>38000</v>
      </c>
      <c r="N217" s="60"/>
    </row>
    <row r="218" spans="1:14" hidden="1" x14ac:dyDescent="0.3">
      <c r="A218" s="52">
        <f t="shared" si="1"/>
        <v>215</v>
      </c>
      <c r="B218" s="63"/>
      <c r="C218" s="56"/>
      <c r="D218" s="55"/>
      <c r="E218" s="57"/>
      <c r="F218" s="59"/>
      <c r="G218" s="57"/>
      <c r="H218" s="57"/>
      <c r="I218" s="57"/>
      <c r="J218" s="57">
        <f>Table5[[#This Row],[العدد]]*Table5[[#This Row],[الفئة]]</f>
        <v>0</v>
      </c>
      <c r="K21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18" s="57"/>
      <c r="M218" s="57">
        <f>Table5[[#This Row],[الاجمالي]]-Table5[[#This Row],[المبلغ المدفوع]]</f>
        <v>0</v>
      </c>
      <c r="N218" s="60"/>
    </row>
    <row r="219" spans="1:14" hidden="1" x14ac:dyDescent="0.3">
      <c r="A219" s="52">
        <f t="shared" si="1"/>
        <v>216</v>
      </c>
      <c r="B219" s="63" t="s">
        <v>89</v>
      </c>
      <c r="C219" s="56">
        <v>45328</v>
      </c>
      <c r="D219" s="55">
        <v>277</v>
      </c>
      <c r="E219" s="57">
        <v>50</v>
      </c>
      <c r="F219" s="59">
        <v>5</v>
      </c>
      <c r="G219" s="57">
        <v>40</v>
      </c>
      <c r="H219" s="57"/>
      <c r="I219" s="57">
        <v>250</v>
      </c>
      <c r="J219" s="57">
        <f>Table5[[#This Row],[العدد]]*Table5[[#This Row],[الفئة]]</f>
        <v>250</v>
      </c>
      <c r="K21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10250</v>
      </c>
      <c r="L219" s="57"/>
      <c r="M219" s="57">
        <f>Table5[[#This Row],[الاجمالي]]-Table5[[#This Row],[المبلغ المدفوع]]</f>
        <v>10250</v>
      </c>
      <c r="N219" s="60" t="s">
        <v>143</v>
      </c>
    </row>
    <row r="220" spans="1:14" hidden="1" x14ac:dyDescent="0.3">
      <c r="A220" s="52">
        <f t="shared" si="1"/>
        <v>217</v>
      </c>
      <c r="B220" s="63"/>
      <c r="C220" s="56"/>
      <c r="D220" s="55"/>
      <c r="E220" s="57"/>
      <c r="F220" s="59"/>
      <c r="G220" s="57"/>
      <c r="H220" s="57"/>
      <c r="I220" s="57"/>
      <c r="J220" s="57">
        <f>Table5[[#This Row],[العدد]]*Table5[[#This Row],[الفئة]]</f>
        <v>0</v>
      </c>
      <c r="K22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20" s="57"/>
      <c r="M220" s="57">
        <f>Table5[[#This Row],[الاجمالي]]-Table5[[#This Row],[المبلغ المدفوع]]</f>
        <v>0</v>
      </c>
      <c r="N220" s="60"/>
    </row>
    <row r="221" spans="1:14" hidden="1" x14ac:dyDescent="0.3">
      <c r="A221" s="52">
        <f t="shared" si="1"/>
        <v>218</v>
      </c>
      <c r="B221" s="63" t="s">
        <v>97</v>
      </c>
      <c r="C221" s="56">
        <v>45328</v>
      </c>
      <c r="D221" s="55">
        <v>278</v>
      </c>
      <c r="E221" s="57">
        <v>40</v>
      </c>
      <c r="F221" s="59">
        <v>5</v>
      </c>
      <c r="G221" s="57">
        <v>38</v>
      </c>
      <c r="H221" s="57"/>
      <c r="I221" s="57"/>
      <c r="J221" s="57">
        <f>Table5[[#This Row],[العدد]]*Table5[[#This Row],[الفئة]]</f>
        <v>200</v>
      </c>
      <c r="K22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221" s="57"/>
      <c r="M221" s="57">
        <f>Table5[[#This Row],[الاجمالي]]-Table5[[#This Row],[المبلغ المدفوع]]</f>
        <v>7600</v>
      </c>
      <c r="N221" s="60"/>
    </row>
    <row r="222" spans="1:14" hidden="1" x14ac:dyDescent="0.3">
      <c r="A222" s="52">
        <f t="shared" si="1"/>
        <v>219</v>
      </c>
      <c r="B222" s="63"/>
      <c r="C222" s="56"/>
      <c r="D222" s="55"/>
      <c r="E222" s="57"/>
      <c r="F222" s="59"/>
      <c r="G222" s="57"/>
      <c r="H222" s="57"/>
      <c r="I222" s="57"/>
      <c r="J222" s="57">
        <f>Table5[[#This Row],[العدد]]*Table5[[#This Row],[الفئة]]</f>
        <v>0</v>
      </c>
      <c r="K22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22" s="57"/>
      <c r="M222" s="57">
        <f>Table5[[#This Row],[الاجمالي]]-Table5[[#This Row],[المبلغ المدفوع]]</f>
        <v>0</v>
      </c>
      <c r="N222" s="60"/>
    </row>
    <row r="223" spans="1:14" hidden="1" x14ac:dyDescent="0.3">
      <c r="A223" s="52">
        <f t="shared" si="1"/>
        <v>220</v>
      </c>
      <c r="B223" s="63" t="s">
        <v>45</v>
      </c>
      <c r="C223" s="56">
        <v>45328</v>
      </c>
      <c r="D223" s="55">
        <v>279</v>
      </c>
      <c r="E223" s="57">
        <v>12</v>
      </c>
      <c r="F223" s="59">
        <v>0.8</v>
      </c>
      <c r="G223" s="57">
        <v>39</v>
      </c>
      <c r="H223" s="57"/>
      <c r="I223" s="57"/>
      <c r="J223" s="57">
        <f>Table5[[#This Row],[العدد]]*Table5[[#This Row],[الفئة]]</f>
        <v>9.6000000000000014</v>
      </c>
      <c r="K22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468</v>
      </c>
      <c r="L223" s="57"/>
      <c r="M223" s="57">
        <f>Table5[[#This Row],[الاجمالي]]-Table5[[#This Row],[المبلغ المدفوع]]</f>
        <v>468</v>
      </c>
      <c r="N223" s="60"/>
    </row>
    <row r="224" spans="1:14" hidden="1" x14ac:dyDescent="0.3">
      <c r="A224" s="52">
        <f t="shared" si="1"/>
        <v>221</v>
      </c>
      <c r="B224" s="63" t="s">
        <v>45</v>
      </c>
      <c r="C224" s="56">
        <v>45328</v>
      </c>
      <c r="D224" s="55">
        <v>279</v>
      </c>
      <c r="E224" s="57">
        <v>10</v>
      </c>
      <c r="F224" s="59">
        <v>1.6</v>
      </c>
      <c r="G224" s="57">
        <v>39</v>
      </c>
      <c r="H224" s="57"/>
      <c r="I224" s="57"/>
      <c r="J224" s="57">
        <f>Table5[[#This Row],[العدد]]*Table5[[#This Row],[الفئة]]</f>
        <v>16</v>
      </c>
      <c r="K22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780</v>
      </c>
      <c r="L224" s="57"/>
      <c r="M224" s="57">
        <f>Table5[[#This Row],[الاجمالي]]-Table5[[#This Row],[المبلغ المدفوع]]</f>
        <v>780</v>
      </c>
      <c r="N224" s="60"/>
    </row>
    <row r="225" spans="1:14" hidden="1" x14ac:dyDescent="0.3">
      <c r="A225" s="52">
        <f t="shared" si="1"/>
        <v>222</v>
      </c>
      <c r="B225" s="63"/>
      <c r="C225" s="56"/>
      <c r="D225" s="55"/>
      <c r="E225" s="57"/>
      <c r="F225" s="59"/>
      <c r="G225" s="57"/>
      <c r="H225" s="57"/>
      <c r="I225" s="57"/>
      <c r="J225" s="57">
        <f>Table5[[#This Row],[العدد]]*Table5[[#This Row],[الفئة]]</f>
        <v>0</v>
      </c>
      <c r="K22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25" s="57"/>
      <c r="M225" s="57">
        <f>Table5[[#This Row],[الاجمالي]]-Table5[[#This Row],[المبلغ المدفوع]]</f>
        <v>0</v>
      </c>
      <c r="N225" s="60"/>
    </row>
    <row r="226" spans="1:14" x14ac:dyDescent="0.3">
      <c r="A226" s="52">
        <f t="shared" si="1"/>
        <v>223</v>
      </c>
      <c r="B226" s="55" t="s">
        <v>29</v>
      </c>
      <c r="C226" s="56">
        <v>45328</v>
      </c>
      <c r="D226" s="55">
        <v>280</v>
      </c>
      <c r="E226" s="57">
        <v>55</v>
      </c>
      <c r="F226" s="59">
        <v>5</v>
      </c>
      <c r="G226" s="57">
        <v>38</v>
      </c>
      <c r="H226" s="57"/>
      <c r="I226" s="57"/>
      <c r="J226" s="57">
        <f>Table5[[#This Row],[العدد]]*Table5[[#This Row],[الفئة]]</f>
        <v>275</v>
      </c>
      <c r="K22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10450</v>
      </c>
      <c r="L226" s="57"/>
      <c r="M226" s="57">
        <f>Table5[[#This Row],[الاجمالي]]-Table5[[#This Row],[المبلغ المدفوع]]</f>
        <v>10450</v>
      </c>
      <c r="N226" s="60"/>
    </row>
    <row r="227" spans="1:14" x14ac:dyDescent="0.3">
      <c r="A227" s="52">
        <f t="shared" si="1"/>
        <v>224</v>
      </c>
      <c r="B227" s="55" t="s">
        <v>29</v>
      </c>
      <c r="C227" s="56">
        <v>45328</v>
      </c>
      <c r="D227" s="55">
        <v>280</v>
      </c>
      <c r="E227" s="57">
        <v>25</v>
      </c>
      <c r="F227" s="59">
        <v>5</v>
      </c>
      <c r="G227" s="57">
        <v>38</v>
      </c>
      <c r="H227" s="57"/>
      <c r="I227" s="57"/>
      <c r="J227" s="57">
        <f>Table5[[#This Row],[العدد]]*Table5[[#This Row],[الفئة]]</f>
        <v>125</v>
      </c>
      <c r="K22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4750</v>
      </c>
      <c r="L227" s="57"/>
      <c r="M227" s="57">
        <f>Table5[[#This Row],[الاجمالي]]-Table5[[#This Row],[المبلغ المدفوع]]</f>
        <v>4750</v>
      </c>
      <c r="N227" s="60"/>
    </row>
    <row r="228" spans="1:14" x14ac:dyDescent="0.3">
      <c r="A228" s="52">
        <f t="shared" si="1"/>
        <v>225</v>
      </c>
      <c r="B228" s="55" t="s">
        <v>29</v>
      </c>
      <c r="C228" s="56">
        <v>45328</v>
      </c>
      <c r="D228" s="55">
        <v>280</v>
      </c>
      <c r="E228" s="57">
        <v>85</v>
      </c>
      <c r="F228" s="59">
        <v>5</v>
      </c>
      <c r="G228" s="57">
        <v>38</v>
      </c>
      <c r="H228" s="57"/>
      <c r="I228" s="57"/>
      <c r="J228" s="57">
        <f>Table5[[#This Row],[العدد]]*Table5[[#This Row],[الفئة]]</f>
        <v>425</v>
      </c>
      <c r="K22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16150</v>
      </c>
      <c r="L228" s="57"/>
      <c r="M228" s="57">
        <f>Table5[[#This Row],[الاجمالي]]-Table5[[#This Row],[المبلغ المدفوع]]</f>
        <v>16150</v>
      </c>
      <c r="N228" s="60"/>
    </row>
    <row r="229" spans="1:14" x14ac:dyDescent="0.3">
      <c r="A229" s="52">
        <f t="shared" si="1"/>
        <v>226</v>
      </c>
      <c r="B229" s="55" t="s">
        <v>29</v>
      </c>
      <c r="C229" s="56">
        <v>45328</v>
      </c>
      <c r="D229" s="55">
        <v>280</v>
      </c>
      <c r="E229" s="57">
        <v>50</v>
      </c>
      <c r="F229" s="59">
        <v>5</v>
      </c>
      <c r="G229" s="57">
        <v>38</v>
      </c>
      <c r="H229" s="57"/>
      <c r="I229" s="57"/>
      <c r="J229" s="57">
        <f>Table5[[#This Row],[العدد]]*Table5[[#This Row],[الفئة]]</f>
        <v>250</v>
      </c>
      <c r="K22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9500</v>
      </c>
      <c r="L229" s="57"/>
      <c r="M229" s="57">
        <f>Table5[[#This Row],[الاجمالي]]-Table5[[#This Row],[المبلغ المدفوع]]</f>
        <v>9500</v>
      </c>
      <c r="N229" s="60"/>
    </row>
    <row r="230" spans="1:14" x14ac:dyDescent="0.3">
      <c r="A230" s="52">
        <f t="shared" si="1"/>
        <v>227</v>
      </c>
      <c r="B230" s="55" t="s">
        <v>29</v>
      </c>
      <c r="C230" s="56">
        <v>45328</v>
      </c>
      <c r="D230" s="55">
        <v>280</v>
      </c>
      <c r="E230" s="57">
        <v>100</v>
      </c>
      <c r="F230" s="59">
        <v>5</v>
      </c>
      <c r="G230" s="57">
        <v>38</v>
      </c>
      <c r="H230" s="57"/>
      <c r="I230" s="57"/>
      <c r="J230" s="57">
        <f>Table5[[#This Row],[العدد]]*Table5[[#This Row],[الفئة]]</f>
        <v>500</v>
      </c>
      <c r="K23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19000</v>
      </c>
      <c r="L230" s="57"/>
      <c r="M230" s="57">
        <f>Table5[[#This Row],[الاجمالي]]-Table5[[#This Row],[المبلغ المدفوع]]</f>
        <v>19000</v>
      </c>
      <c r="N230" s="60"/>
    </row>
    <row r="231" spans="1:14" x14ac:dyDescent="0.3">
      <c r="A231" s="52">
        <f t="shared" si="1"/>
        <v>228</v>
      </c>
      <c r="B231" s="55" t="s">
        <v>29</v>
      </c>
      <c r="C231" s="56">
        <v>45328</v>
      </c>
      <c r="D231" s="55">
        <v>280</v>
      </c>
      <c r="E231" s="57">
        <v>50</v>
      </c>
      <c r="F231" s="59">
        <v>0.8</v>
      </c>
      <c r="G231" s="57">
        <v>38</v>
      </c>
      <c r="H231" s="57"/>
      <c r="I231" s="57"/>
      <c r="J231" s="57">
        <f>Table5[[#This Row],[العدد]]*Table5[[#This Row],[الفئة]]</f>
        <v>40</v>
      </c>
      <c r="K23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</v>
      </c>
      <c r="L231" s="57"/>
      <c r="M231" s="57">
        <f>Table5[[#This Row],[الاجمالي]]-Table5[[#This Row],[المبلغ المدفوع]]</f>
        <v>1900</v>
      </c>
      <c r="N231" s="60"/>
    </row>
    <row r="232" spans="1:14" x14ac:dyDescent="0.3">
      <c r="A232" s="52">
        <f t="shared" si="1"/>
        <v>229</v>
      </c>
      <c r="B232" s="55" t="s">
        <v>29</v>
      </c>
      <c r="C232" s="56">
        <v>45328</v>
      </c>
      <c r="D232" s="55">
        <v>280</v>
      </c>
      <c r="E232" s="57">
        <v>10</v>
      </c>
      <c r="F232" s="59">
        <v>1.6</v>
      </c>
      <c r="G232" s="57">
        <v>38</v>
      </c>
      <c r="H232" s="57"/>
      <c r="I232" s="57"/>
      <c r="J232" s="57">
        <f>Table5[[#This Row],[العدد]]*Table5[[#This Row],[الفئة]]</f>
        <v>16</v>
      </c>
      <c r="K23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232" s="57"/>
      <c r="M232" s="57">
        <f>Table5[[#This Row],[الاجمالي]]-Table5[[#This Row],[المبلغ المدفوع]]</f>
        <v>760</v>
      </c>
      <c r="N232" s="60"/>
    </row>
    <row r="233" spans="1:14" x14ac:dyDescent="0.3">
      <c r="A233" s="52">
        <f t="shared" si="1"/>
        <v>230</v>
      </c>
      <c r="B233" s="55" t="s">
        <v>29</v>
      </c>
      <c r="C233" s="56">
        <v>45328</v>
      </c>
      <c r="D233" s="55">
        <v>280</v>
      </c>
      <c r="E233" s="57">
        <v>30</v>
      </c>
      <c r="F233" s="59">
        <v>5</v>
      </c>
      <c r="G233" s="57">
        <v>38</v>
      </c>
      <c r="H233" s="57"/>
      <c r="I233" s="57"/>
      <c r="J233" s="57">
        <f>Table5[[#This Row],[العدد]]*Table5[[#This Row],[الفئة]]</f>
        <v>150</v>
      </c>
      <c r="K23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5700</v>
      </c>
      <c r="L233" s="57"/>
      <c r="M233" s="57">
        <f>Table5[[#This Row],[الاجمالي]]-Table5[[#This Row],[المبلغ المدفوع]]</f>
        <v>5700</v>
      </c>
      <c r="N233" s="60"/>
    </row>
    <row r="234" spans="1:14" hidden="1" x14ac:dyDescent="0.3">
      <c r="A234" s="52">
        <f t="shared" si="1"/>
        <v>231</v>
      </c>
      <c r="B234" s="55"/>
      <c r="C234" s="56"/>
      <c r="D234" s="55"/>
      <c r="E234" s="57"/>
      <c r="F234" s="59"/>
      <c r="G234" s="57"/>
      <c r="H234" s="57"/>
      <c r="I234" s="57"/>
      <c r="J234" s="57">
        <f>Table5[[#This Row],[العدد]]*Table5[[#This Row],[الفئة]]</f>
        <v>0</v>
      </c>
      <c r="K23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34" s="57"/>
      <c r="M234" s="57">
        <f>Table5[[#This Row],[الاجمالي]]-Table5[[#This Row],[المبلغ المدفوع]]</f>
        <v>0</v>
      </c>
      <c r="N234" s="60"/>
    </row>
    <row r="235" spans="1:14" hidden="1" x14ac:dyDescent="0.3">
      <c r="A235" s="52">
        <f t="shared" si="1"/>
        <v>232</v>
      </c>
      <c r="B235" s="55" t="s">
        <v>98</v>
      </c>
      <c r="C235" s="56">
        <v>45328</v>
      </c>
      <c r="D235" s="55">
        <v>281</v>
      </c>
      <c r="E235" s="57">
        <v>100</v>
      </c>
      <c r="F235" s="59">
        <v>5</v>
      </c>
      <c r="G235" s="57">
        <v>40</v>
      </c>
      <c r="H235" s="57"/>
      <c r="I235" s="57"/>
      <c r="J235" s="57">
        <f>Table5[[#This Row],[العدد]]*Table5[[#This Row],[الفئة]]</f>
        <v>500</v>
      </c>
      <c r="K23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20000</v>
      </c>
      <c r="L235" s="57"/>
      <c r="M235" s="57">
        <f>Table5[[#This Row],[الاجمالي]]-Table5[[#This Row],[المبلغ المدفوع]]</f>
        <v>20000</v>
      </c>
      <c r="N235" s="60"/>
    </row>
    <row r="236" spans="1:14" hidden="1" x14ac:dyDescent="0.3">
      <c r="A236" s="52">
        <f t="shared" si="0"/>
        <v>233</v>
      </c>
      <c r="B236" s="55" t="s">
        <v>98</v>
      </c>
      <c r="C236" s="56">
        <v>45328</v>
      </c>
      <c r="D236" s="55">
        <v>281</v>
      </c>
      <c r="E236" s="57">
        <v>360</v>
      </c>
      <c r="F236" s="59">
        <v>0.8</v>
      </c>
      <c r="G236" s="57">
        <v>38</v>
      </c>
      <c r="H236" s="57"/>
      <c r="I236" s="57"/>
      <c r="J236" s="57">
        <f>Table5[[#This Row],[العدد]]*Table5[[#This Row],[الفئة]]</f>
        <v>288</v>
      </c>
      <c r="K23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13680</v>
      </c>
      <c r="L236" s="57"/>
      <c r="M236" s="57">
        <f>Table5[[#This Row],[الاجمالي]]-Table5[[#This Row],[المبلغ المدفوع]]</f>
        <v>13680</v>
      </c>
      <c r="N236" s="60"/>
    </row>
    <row r="237" spans="1:14" hidden="1" x14ac:dyDescent="0.3">
      <c r="A237" s="52">
        <f t="shared" si="0"/>
        <v>234</v>
      </c>
      <c r="B237" s="55" t="s">
        <v>98</v>
      </c>
      <c r="C237" s="56">
        <v>45328</v>
      </c>
      <c r="D237" s="55">
        <v>281</v>
      </c>
      <c r="E237" s="57">
        <v>70</v>
      </c>
      <c r="F237" s="59">
        <v>1.6</v>
      </c>
      <c r="G237" s="57">
        <v>38</v>
      </c>
      <c r="H237" s="57"/>
      <c r="I237" s="57"/>
      <c r="J237" s="57">
        <f>Table5[[#This Row],[العدد]]*Table5[[#This Row],[الفئة]]</f>
        <v>112</v>
      </c>
      <c r="K23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5320</v>
      </c>
      <c r="L237" s="57"/>
      <c r="M237" s="57">
        <f>Table5[[#This Row],[الاجمالي]]-Table5[[#This Row],[المبلغ المدفوع]]</f>
        <v>5320</v>
      </c>
      <c r="N237" s="60"/>
    </row>
    <row r="238" spans="1:14" hidden="1" x14ac:dyDescent="0.3">
      <c r="A238" s="52">
        <f t="shared" si="0"/>
        <v>235</v>
      </c>
      <c r="B238" s="55"/>
      <c r="C238" s="56"/>
      <c r="D238" s="55"/>
      <c r="E238" s="57"/>
      <c r="F238" s="59"/>
      <c r="G238" s="57"/>
      <c r="H238" s="57"/>
      <c r="I238" s="57"/>
      <c r="J238" s="57">
        <f>Table5[[#This Row],[العدد]]*Table5[[#This Row],[الفئة]]</f>
        <v>0</v>
      </c>
      <c r="K23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38" s="57"/>
      <c r="M238" s="57">
        <f>Table5[[#This Row],[الاجمالي]]-Table5[[#This Row],[المبلغ المدفوع]]</f>
        <v>0</v>
      </c>
      <c r="N238" s="60"/>
    </row>
    <row r="239" spans="1:14" hidden="1" x14ac:dyDescent="0.3">
      <c r="A239" s="52">
        <f t="shared" si="0"/>
        <v>236</v>
      </c>
      <c r="B239" s="55" t="s">
        <v>85</v>
      </c>
      <c r="C239" s="56">
        <v>45330</v>
      </c>
      <c r="D239" s="55">
        <v>282</v>
      </c>
      <c r="E239" s="57">
        <v>350</v>
      </c>
      <c r="F239" s="59">
        <v>5</v>
      </c>
      <c r="G239" s="57">
        <v>39</v>
      </c>
      <c r="H239" s="62">
        <v>250</v>
      </c>
      <c r="I239" s="57"/>
      <c r="J239" s="57">
        <f>Table5[[#This Row],[العدد]]*Table5[[#This Row],[الفئة]]</f>
        <v>1750</v>
      </c>
      <c r="K23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68000</v>
      </c>
      <c r="L239" s="57"/>
      <c r="M239" s="57">
        <f>Table5[[#This Row],[الاجمالي]]-Table5[[#This Row],[المبلغ المدفوع]]</f>
        <v>68000</v>
      </c>
      <c r="N239" s="60"/>
    </row>
    <row r="240" spans="1:14" hidden="1" x14ac:dyDescent="0.3">
      <c r="A240" s="52">
        <f t="shared" si="0"/>
        <v>237</v>
      </c>
      <c r="B240" s="55"/>
      <c r="C240" s="56"/>
      <c r="D240" s="55"/>
      <c r="E240" s="57"/>
      <c r="F240" s="59"/>
      <c r="G240" s="57"/>
      <c r="H240" s="57"/>
      <c r="I240" s="57"/>
      <c r="J240" s="57">
        <f>Table5[[#This Row],[العدد]]*Table5[[#This Row],[الفئة]]</f>
        <v>0</v>
      </c>
      <c r="K24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40" s="57"/>
      <c r="M240" s="57">
        <f>Table5[[#This Row],[الاجمالي]]-Table5[[#This Row],[المبلغ المدفوع]]</f>
        <v>0</v>
      </c>
      <c r="N240" s="60"/>
    </row>
    <row r="241" spans="1:14" hidden="1" x14ac:dyDescent="0.3">
      <c r="A241" s="52">
        <f t="shared" si="0"/>
        <v>238</v>
      </c>
      <c r="B241" s="73" t="s">
        <v>82</v>
      </c>
      <c r="C241" s="56">
        <v>45331</v>
      </c>
      <c r="D241" s="55">
        <v>283</v>
      </c>
      <c r="E241" s="57">
        <v>50</v>
      </c>
      <c r="F241" s="59">
        <v>5</v>
      </c>
      <c r="G241" s="57">
        <v>39</v>
      </c>
      <c r="H241" s="57"/>
      <c r="I241" s="57"/>
      <c r="J241" s="57">
        <f>Table5[[#This Row],[العدد]]*Table5[[#This Row],[الفئة]]</f>
        <v>250</v>
      </c>
      <c r="K24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9750</v>
      </c>
      <c r="L241" s="57"/>
      <c r="M241" s="57">
        <f>Table5[[#This Row],[الاجمالي]]-Table5[[#This Row],[المبلغ المدفوع]]</f>
        <v>9750</v>
      </c>
      <c r="N241" s="60"/>
    </row>
    <row r="242" spans="1:14" hidden="1" x14ac:dyDescent="0.3">
      <c r="A242" s="52">
        <f t="shared" si="0"/>
        <v>239</v>
      </c>
      <c r="B242" s="55"/>
      <c r="C242" s="56"/>
      <c r="D242" s="55"/>
      <c r="E242" s="57"/>
      <c r="F242" s="59"/>
      <c r="G242" s="57"/>
      <c r="H242" s="57"/>
      <c r="I242" s="57"/>
      <c r="J242" s="57">
        <f>Table5[[#This Row],[العدد]]*Table5[[#This Row],[الفئة]]</f>
        <v>0</v>
      </c>
      <c r="K24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42" s="57"/>
      <c r="M242" s="57">
        <f>Table5[[#This Row],[الاجمالي]]-Table5[[#This Row],[المبلغ المدفوع]]</f>
        <v>0</v>
      </c>
      <c r="N242" s="60"/>
    </row>
    <row r="243" spans="1:14" hidden="1" x14ac:dyDescent="0.3">
      <c r="A243" s="52">
        <f t="shared" si="0"/>
        <v>240</v>
      </c>
      <c r="B243" s="55" t="s">
        <v>19</v>
      </c>
      <c r="C243" s="56">
        <v>45331</v>
      </c>
      <c r="D243" s="55">
        <v>284</v>
      </c>
      <c r="E243" s="57">
        <v>100</v>
      </c>
      <c r="F243" s="59">
        <v>5</v>
      </c>
      <c r="G243" s="57">
        <v>40</v>
      </c>
      <c r="H243" s="57"/>
      <c r="I243" s="57"/>
      <c r="J243" s="57">
        <f>Table5[[#This Row],[العدد]]*Table5[[#This Row],[الفئة]]</f>
        <v>500</v>
      </c>
      <c r="K24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20000</v>
      </c>
      <c r="L243" s="57"/>
      <c r="M243" s="57">
        <f>Table5[[#This Row],[الاجمالي]]-Table5[[#This Row],[المبلغ المدفوع]]</f>
        <v>20000</v>
      </c>
      <c r="N243" s="60"/>
    </row>
    <row r="244" spans="1:14" hidden="1" x14ac:dyDescent="0.3">
      <c r="A244" s="52">
        <f>A243+1</f>
        <v>241</v>
      </c>
      <c r="B244" s="55"/>
      <c r="C244" s="56"/>
      <c r="D244" s="55"/>
      <c r="E244" s="57"/>
      <c r="F244" s="59"/>
      <c r="G244" s="57"/>
      <c r="H244" s="57"/>
      <c r="I244" s="57"/>
      <c r="J244" s="57">
        <f>Table5[[#This Row],[العدد]]*Table5[[#This Row],[الفئة]]</f>
        <v>0</v>
      </c>
      <c r="K24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44" s="57"/>
      <c r="M244" s="57">
        <f>Table5[[#This Row],[الاجمالي]]-Table5[[#This Row],[المبلغ المدفوع]]</f>
        <v>0</v>
      </c>
      <c r="N244" s="60"/>
    </row>
    <row r="245" spans="1:14" hidden="1" x14ac:dyDescent="0.3">
      <c r="A245" s="52">
        <f t="shared" si="0"/>
        <v>242</v>
      </c>
      <c r="B245" s="55" t="s">
        <v>48</v>
      </c>
      <c r="C245" s="56">
        <v>45331</v>
      </c>
      <c r="D245" s="55">
        <v>285</v>
      </c>
      <c r="E245" s="57">
        <v>400</v>
      </c>
      <c r="F245" s="59">
        <v>5</v>
      </c>
      <c r="G245" s="57">
        <v>40</v>
      </c>
      <c r="H245" s="57"/>
      <c r="I245" s="57"/>
      <c r="J245" s="57">
        <f>Table5[[#This Row],[العدد]]*Table5[[#This Row],[الفئة]]</f>
        <v>2000</v>
      </c>
      <c r="K24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80000</v>
      </c>
      <c r="L245" s="57"/>
      <c r="M245" s="57">
        <f>Table5[[#This Row],[الاجمالي]]-Table5[[#This Row],[المبلغ المدفوع]]</f>
        <v>80000</v>
      </c>
      <c r="N245" s="60"/>
    </row>
    <row r="246" spans="1:14" hidden="1" x14ac:dyDescent="0.3">
      <c r="A246" s="52">
        <f t="shared" si="0"/>
        <v>243</v>
      </c>
      <c r="B246" s="55" t="s">
        <v>48</v>
      </c>
      <c r="C246" s="56">
        <v>45331</v>
      </c>
      <c r="D246" s="55">
        <v>285</v>
      </c>
      <c r="E246" s="57">
        <v>20</v>
      </c>
      <c r="F246" s="59">
        <v>1.6</v>
      </c>
      <c r="G246" s="57">
        <v>38</v>
      </c>
      <c r="H246" s="57"/>
      <c r="I246" s="57"/>
      <c r="J246" s="57">
        <f>Table5[[#This Row],[العدد]]*Table5[[#This Row],[الفئة]]</f>
        <v>32</v>
      </c>
      <c r="K24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246" s="57"/>
      <c r="M246" s="57">
        <f>Table5[[#This Row],[الاجمالي]]-Table5[[#This Row],[المبلغ المدفوع]]</f>
        <v>1520</v>
      </c>
      <c r="N246" s="60"/>
    </row>
    <row r="247" spans="1:14" hidden="1" x14ac:dyDescent="0.3">
      <c r="A247" s="52">
        <f t="shared" si="0"/>
        <v>244</v>
      </c>
      <c r="B247" s="55" t="s">
        <v>48</v>
      </c>
      <c r="C247" s="56">
        <v>45331</v>
      </c>
      <c r="D247" s="55">
        <v>285</v>
      </c>
      <c r="E247" s="57">
        <v>50</v>
      </c>
      <c r="F247" s="59">
        <v>0.8</v>
      </c>
      <c r="G247" s="57">
        <v>38</v>
      </c>
      <c r="H247" s="57"/>
      <c r="I247" s="57"/>
      <c r="J247" s="57">
        <f>Table5[[#This Row],[العدد]]*Table5[[#This Row],[الفئة]]</f>
        <v>40</v>
      </c>
      <c r="K24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</v>
      </c>
      <c r="L247" s="57"/>
      <c r="M247" s="57">
        <f>Table5[[#This Row],[الاجمالي]]-Table5[[#This Row],[المبلغ المدفوع]]</f>
        <v>1900</v>
      </c>
      <c r="N247" s="60"/>
    </row>
    <row r="248" spans="1:14" hidden="1" x14ac:dyDescent="0.3">
      <c r="A248" s="52">
        <f t="shared" si="0"/>
        <v>245</v>
      </c>
      <c r="B248" s="55"/>
      <c r="C248" s="56"/>
      <c r="D248" s="55"/>
      <c r="E248" s="57"/>
      <c r="F248" s="59"/>
      <c r="G248" s="57"/>
      <c r="H248" s="57"/>
      <c r="I248" s="57"/>
      <c r="J248" s="57">
        <f>Table5[[#This Row],[العدد]]*Table5[[#This Row],[الفئة]]</f>
        <v>0</v>
      </c>
      <c r="K24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48" s="57"/>
      <c r="M248" s="57">
        <f>Table5[[#This Row],[الاجمالي]]-Table5[[#This Row],[المبلغ المدفوع]]</f>
        <v>0</v>
      </c>
      <c r="N248" s="60"/>
    </row>
    <row r="249" spans="1:14" hidden="1" x14ac:dyDescent="0.3">
      <c r="A249" s="52">
        <f t="shared" si="0"/>
        <v>246</v>
      </c>
      <c r="B249" s="55" t="s">
        <v>69</v>
      </c>
      <c r="C249" s="56">
        <v>45331</v>
      </c>
      <c r="D249" s="55">
        <v>286</v>
      </c>
      <c r="E249" s="57"/>
      <c r="F249" s="59"/>
      <c r="G249" s="57"/>
      <c r="H249" s="57"/>
      <c r="I249" s="57"/>
      <c r="J249" s="57">
        <f>Table5[[#This Row],[العدد]]*Table5[[#This Row],[الفئة]]</f>
        <v>0</v>
      </c>
      <c r="K24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49" s="57"/>
      <c r="M249" s="57">
        <f>Table5[[#This Row],[الاجمالي]]-Table5[[#This Row],[المبلغ المدفوع]]</f>
        <v>0</v>
      </c>
      <c r="N249" s="60"/>
    </row>
    <row r="250" spans="1:14" hidden="1" x14ac:dyDescent="0.3">
      <c r="A250" s="52">
        <f t="shared" si="0"/>
        <v>247</v>
      </c>
      <c r="B250" s="55"/>
      <c r="C250" s="56"/>
      <c r="D250" s="55"/>
      <c r="E250" s="57"/>
      <c r="F250" s="59"/>
      <c r="G250" s="57"/>
      <c r="H250" s="57"/>
      <c r="I250" s="57"/>
      <c r="J250" s="57">
        <f>Table5[[#This Row],[العدد]]*Table5[[#This Row],[الفئة]]</f>
        <v>0</v>
      </c>
      <c r="K25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50" s="57"/>
      <c r="M250" s="57">
        <f>Table5[[#This Row],[الاجمالي]]-Table5[[#This Row],[المبلغ المدفوع]]</f>
        <v>0</v>
      </c>
      <c r="N250" s="60"/>
    </row>
    <row r="251" spans="1:14" hidden="1" x14ac:dyDescent="0.3">
      <c r="A251" s="52">
        <f t="shared" si="0"/>
        <v>248</v>
      </c>
      <c r="B251" s="55" t="s">
        <v>19</v>
      </c>
      <c r="C251" s="56">
        <v>45331</v>
      </c>
      <c r="D251" s="55">
        <v>287</v>
      </c>
      <c r="E251" s="57">
        <v>400</v>
      </c>
      <c r="F251" s="59">
        <v>0.8</v>
      </c>
      <c r="G251" s="57">
        <v>38</v>
      </c>
      <c r="H251" s="57"/>
      <c r="I251" s="57"/>
      <c r="J251" s="57">
        <f>Table5[[#This Row],[العدد]]*Table5[[#This Row],[الفئة]]</f>
        <v>320</v>
      </c>
      <c r="K25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15200</v>
      </c>
      <c r="L251" s="57"/>
      <c r="M251" s="57">
        <f>Table5[[#This Row],[الاجمالي]]-Table5[[#This Row],[المبلغ المدفوع]]</f>
        <v>15200</v>
      </c>
      <c r="N251" s="60"/>
    </row>
    <row r="252" spans="1:14" hidden="1" x14ac:dyDescent="0.3">
      <c r="A252" s="52">
        <f t="shared" si="0"/>
        <v>249</v>
      </c>
      <c r="B252" s="55" t="s">
        <v>19</v>
      </c>
      <c r="C252" s="56">
        <v>45331</v>
      </c>
      <c r="D252" s="55">
        <v>287</v>
      </c>
      <c r="E252" s="57">
        <v>50</v>
      </c>
      <c r="F252" s="59">
        <v>1.6</v>
      </c>
      <c r="G252" s="57">
        <v>38</v>
      </c>
      <c r="H252" s="57"/>
      <c r="I252" s="57"/>
      <c r="J252" s="57">
        <f>Table5[[#This Row],[العدد]]*Table5[[#This Row],[الفئة]]</f>
        <v>80</v>
      </c>
      <c r="K25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252" s="57"/>
      <c r="M252" s="57">
        <f>Table5[[#This Row],[الاجمالي]]-Table5[[#This Row],[المبلغ المدفوع]]</f>
        <v>3800</v>
      </c>
      <c r="N252" s="60"/>
    </row>
    <row r="253" spans="1:14" hidden="1" x14ac:dyDescent="0.3">
      <c r="A253" s="52">
        <f t="shared" si="0"/>
        <v>250</v>
      </c>
      <c r="B253" s="55"/>
      <c r="C253" s="56"/>
      <c r="D253" s="55"/>
      <c r="E253" s="57"/>
      <c r="F253" s="59"/>
      <c r="G253" s="57"/>
      <c r="H253" s="57"/>
      <c r="I253" s="57"/>
      <c r="J253" s="57">
        <f>Table5[[#This Row],[العدد]]*Table5[[#This Row],[الفئة]]</f>
        <v>0</v>
      </c>
      <c r="K25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53" s="57"/>
      <c r="M253" s="57">
        <f>Table5[[#This Row],[الاجمالي]]-Table5[[#This Row],[المبلغ المدفوع]]</f>
        <v>0</v>
      </c>
      <c r="N253" s="60"/>
    </row>
    <row r="254" spans="1:14" hidden="1" x14ac:dyDescent="0.3">
      <c r="A254" s="52">
        <f t="shared" si="0"/>
        <v>251</v>
      </c>
      <c r="B254" s="55" t="s">
        <v>90</v>
      </c>
      <c r="C254" s="56">
        <v>45331</v>
      </c>
      <c r="D254" s="55">
        <v>288</v>
      </c>
      <c r="E254" s="57">
        <v>144</v>
      </c>
      <c r="F254" s="59">
        <v>0.8</v>
      </c>
      <c r="G254" s="57">
        <v>38</v>
      </c>
      <c r="H254" s="57"/>
      <c r="I254" s="57"/>
      <c r="J254" s="57">
        <f>Table5[[#This Row],[العدد]]*Table5[[#This Row],[الفئة]]</f>
        <v>115.2</v>
      </c>
      <c r="K25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5472</v>
      </c>
      <c r="L254" s="57">
        <f>Table5[[#This Row],[الاجمالي]]</f>
        <v>5472</v>
      </c>
      <c r="M254" s="57">
        <f>Table5[[#This Row],[الاجمالي]]-Table5[[#This Row],[المبلغ المدفوع]]</f>
        <v>0</v>
      </c>
      <c r="N254" s="60"/>
    </row>
    <row r="255" spans="1:14" hidden="1" x14ac:dyDescent="0.3">
      <c r="A255" s="52">
        <f t="shared" si="0"/>
        <v>252</v>
      </c>
      <c r="B255" s="55"/>
      <c r="C255" s="56"/>
      <c r="D255" s="55"/>
      <c r="E255" s="57"/>
      <c r="F255" s="59"/>
      <c r="G255" s="57"/>
      <c r="H255" s="57"/>
      <c r="I255" s="57"/>
      <c r="J255" s="57">
        <f>Table5[[#This Row],[العدد]]*Table5[[#This Row],[الفئة]]</f>
        <v>0</v>
      </c>
      <c r="K25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55" s="57"/>
      <c r="M255" s="57">
        <f>Table5[[#This Row],[الاجمالي]]-Table5[[#This Row],[المبلغ المدفوع]]</f>
        <v>0</v>
      </c>
      <c r="N255" s="60"/>
    </row>
    <row r="256" spans="1:14" hidden="1" x14ac:dyDescent="0.3">
      <c r="A256" s="52">
        <f t="shared" si="0"/>
        <v>253</v>
      </c>
      <c r="B256" s="55" t="s">
        <v>45</v>
      </c>
      <c r="C256" s="56">
        <v>45331</v>
      </c>
      <c r="D256" s="55">
        <v>289</v>
      </c>
      <c r="E256" s="57">
        <v>120</v>
      </c>
      <c r="F256" s="59">
        <v>0.8</v>
      </c>
      <c r="G256" s="57">
        <v>38</v>
      </c>
      <c r="H256" s="57"/>
      <c r="I256" s="57"/>
      <c r="J256" s="57">
        <f>Table5[[#This Row],[العدد]]*Table5[[#This Row],[الفئة]]</f>
        <v>96</v>
      </c>
      <c r="K25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4560</v>
      </c>
      <c r="L256" s="57"/>
      <c r="M256" s="57">
        <f>Table5[[#This Row],[الاجمالي]]-Table5[[#This Row],[المبلغ المدفوع]]</f>
        <v>4560</v>
      </c>
      <c r="N256" s="60"/>
    </row>
    <row r="257" spans="1:14" hidden="1" x14ac:dyDescent="0.3">
      <c r="A257" s="52">
        <f t="shared" si="0"/>
        <v>254</v>
      </c>
      <c r="B257" s="55" t="s">
        <v>45</v>
      </c>
      <c r="C257" s="56">
        <v>45331</v>
      </c>
      <c r="D257" s="55">
        <v>289</v>
      </c>
      <c r="E257" s="57">
        <v>40</v>
      </c>
      <c r="F257" s="59">
        <v>5</v>
      </c>
      <c r="G257" s="57">
        <v>39</v>
      </c>
      <c r="H257" s="57"/>
      <c r="I257" s="57"/>
      <c r="J257" s="57">
        <f>Table5[[#This Row],[العدد]]*Table5[[#This Row],[الفئة]]</f>
        <v>200</v>
      </c>
      <c r="K25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7800</v>
      </c>
      <c r="L257" s="57"/>
      <c r="M257" s="57">
        <f>Table5[[#This Row],[الاجمالي]]-Table5[[#This Row],[المبلغ المدفوع]]</f>
        <v>7800</v>
      </c>
      <c r="N257" s="60"/>
    </row>
    <row r="258" spans="1:14" hidden="1" x14ac:dyDescent="0.3">
      <c r="A258" s="52">
        <f t="shared" si="0"/>
        <v>255</v>
      </c>
      <c r="B258" s="55"/>
      <c r="C258" s="56"/>
      <c r="D258" s="55"/>
      <c r="E258" s="57"/>
      <c r="F258" s="59"/>
      <c r="G258" s="57"/>
      <c r="H258" s="57"/>
      <c r="I258" s="57"/>
      <c r="J258" s="57">
        <f>Table5[[#This Row],[العدد]]*Table5[[#This Row],[الفئة]]</f>
        <v>0</v>
      </c>
      <c r="K25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58" s="57"/>
      <c r="M258" s="57">
        <f>Table5[[#This Row],[الاجمالي]]-Table5[[#This Row],[المبلغ المدفوع]]</f>
        <v>0</v>
      </c>
      <c r="N258" s="60"/>
    </row>
    <row r="259" spans="1:14" hidden="1" x14ac:dyDescent="0.3">
      <c r="A259" s="52">
        <f t="shared" si="0"/>
        <v>256</v>
      </c>
      <c r="B259" s="55" t="s">
        <v>99</v>
      </c>
      <c r="C259" s="56">
        <v>45333</v>
      </c>
      <c r="D259" s="55">
        <v>290</v>
      </c>
      <c r="E259" s="57">
        <v>25</v>
      </c>
      <c r="F259" s="59">
        <v>5</v>
      </c>
      <c r="G259" s="57">
        <v>40</v>
      </c>
      <c r="H259" s="57"/>
      <c r="I259" s="57"/>
      <c r="J259" s="57">
        <f>Table5[[#This Row],[العدد]]*Table5[[#This Row],[الفئة]]</f>
        <v>125</v>
      </c>
      <c r="K25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5000</v>
      </c>
      <c r="L259" s="57">
        <f>Table5[[#This Row],[الاجمالي]]</f>
        <v>5000</v>
      </c>
      <c r="M259" s="57">
        <f>Table5[[#This Row],[الاجمالي]]-Table5[[#This Row],[المبلغ المدفوع]]</f>
        <v>0</v>
      </c>
      <c r="N259" s="60"/>
    </row>
    <row r="260" spans="1:14" hidden="1" x14ac:dyDescent="0.3">
      <c r="A260" s="52">
        <f t="shared" si="0"/>
        <v>257</v>
      </c>
      <c r="B260" s="55" t="s">
        <v>99</v>
      </c>
      <c r="C260" s="56">
        <v>45333</v>
      </c>
      <c r="D260" s="55">
        <v>290</v>
      </c>
      <c r="E260" s="57">
        <v>30</v>
      </c>
      <c r="F260" s="59">
        <v>1.6</v>
      </c>
      <c r="G260" s="57">
        <v>38</v>
      </c>
      <c r="H260" s="57"/>
      <c r="I260" s="57"/>
      <c r="J260" s="57">
        <f>Table5[[#This Row],[العدد]]*Table5[[#This Row],[الفئة]]</f>
        <v>48</v>
      </c>
      <c r="K26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2280</v>
      </c>
      <c r="L260" s="57">
        <f>Table5[[#This Row],[الاجمالي]]</f>
        <v>2280</v>
      </c>
      <c r="M260" s="57">
        <f>Table5[[#This Row],[الاجمالي]]-Table5[[#This Row],[المبلغ المدفوع]]</f>
        <v>0</v>
      </c>
      <c r="N260" s="60"/>
    </row>
    <row r="261" spans="1:14" hidden="1" x14ac:dyDescent="0.3">
      <c r="A261" s="52">
        <f t="shared" si="0"/>
        <v>258</v>
      </c>
      <c r="B261" s="55"/>
      <c r="C261" s="56"/>
      <c r="D261" s="55"/>
      <c r="E261" s="57"/>
      <c r="F261" s="59"/>
      <c r="G261" s="57"/>
      <c r="H261" s="57"/>
      <c r="I261" s="57"/>
      <c r="J261" s="57">
        <f>Table5[[#This Row],[العدد]]*Table5[[#This Row],[الفئة]]</f>
        <v>0</v>
      </c>
      <c r="K26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1" s="57"/>
      <c r="M261" s="57">
        <f>Table5[[#This Row],[الاجمالي]]-Table5[[#This Row],[المبلغ المدفوع]]</f>
        <v>0</v>
      </c>
      <c r="N261" s="60"/>
    </row>
    <row r="262" spans="1:14" hidden="1" x14ac:dyDescent="0.3">
      <c r="A262" s="52">
        <f t="shared" si="0"/>
        <v>259</v>
      </c>
      <c r="B262" s="55" t="s">
        <v>87</v>
      </c>
      <c r="C262" s="56">
        <v>45337</v>
      </c>
      <c r="D262" s="55">
        <v>291</v>
      </c>
      <c r="E262" s="57">
        <v>300</v>
      </c>
      <c r="F262" s="59">
        <v>1.6</v>
      </c>
      <c r="G262" s="57">
        <v>38</v>
      </c>
      <c r="H262" s="57"/>
      <c r="I262" s="57"/>
      <c r="J262" s="57">
        <f>Table5[[#This Row],[العدد]]*Table5[[#This Row],[الفئة]]</f>
        <v>480</v>
      </c>
      <c r="K26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22800</v>
      </c>
      <c r="L262" s="57">
        <f>K262</f>
        <v>22800</v>
      </c>
      <c r="M262" s="57">
        <f>Table5[[#This Row],[الاجمالي]]-Table5[[#This Row],[المبلغ المدفوع]]</f>
        <v>0</v>
      </c>
      <c r="N262" s="60"/>
    </row>
    <row r="263" spans="1:14" hidden="1" x14ac:dyDescent="0.3">
      <c r="A263" s="52">
        <f t="shared" si="0"/>
        <v>260</v>
      </c>
      <c r="B263" s="55" t="s">
        <v>87</v>
      </c>
      <c r="C263" s="56">
        <v>45337</v>
      </c>
      <c r="D263" s="55">
        <v>291</v>
      </c>
      <c r="E263" s="57">
        <v>60</v>
      </c>
      <c r="F263" s="59">
        <v>0.8</v>
      </c>
      <c r="G263" s="57">
        <v>38</v>
      </c>
      <c r="H263" s="57"/>
      <c r="I263" s="57"/>
      <c r="J263" s="57">
        <f>Table5[[#This Row],[العدد]]*Table5[[#This Row],[الفئة]]</f>
        <v>48</v>
      </c>
      <c r="K26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2280</v>
      </c>
      <c r="L263" s="57">
        <f>K263</f>
        <v>2280</v>
      </c>
      <c r="M263" s="57">
        <f>Table5[[#This Row],[الاجمالي]]-Table5[[#This Row],[المبلغ المدفوع]]</f>
        <v>0</v>
      </c>
      <c r="N263" s="60"/>
    </row>
    <row r="264" spans="1:14" hidden="1" x14ac:dyDescent="0.3">
      <c r="A264" s="52">
        <f t="shared" si="0"/>
        <v>261</v>
      </c>
      <c r="B264" s="55"/>
      <c r="C264" s="56"/>
      <c r="D264" s="55"/>
      <c r="E264" s="57"/>
      <c r="F264" s="59"/>
      <c r="G264" s="57"/>
      <c r="H264" s="57"/>
      <c r="I264" s="57"/>
      <c r="J264" s="57">
        <f>Table5[[#This Row],[العدد]]*Table5[[#This Row],[الفئة]]</f>
        <v>0</v>
      </c>
      <c r="K26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4" s="57"/>
      <c r="M264" s="57">
        <f>Table5[[#This Row],[الاجمالي]]-Table5[[#This Row],[المبلغ المدفوع]]</f>
        <v>0</v>
      </c>
      <c r="N264" s="60"/>
    </row>
    <row r="265" spans="1:14" hidden="1" x14ac:dyDescent="0.3">
      <c r="A265" s="52">
        <f t="shared" si="0"/>
        <v>262</v>
      </c>
      <c r="B265" s="55" t="s">
        <v>66</v>
      </c>
      <c r="C265" s="56">
        <v>45335</v>
      </c>
      <c r="D265" s="55">
        <v>292</v>
      </c>
      <c r="E265" s="69"/>
      <c r="F265" s="70"/>
      <c r="G265" s="69"/>
      <c r="H265" s="69"/>
      <c r="I265" s="69"/>
      <c r="J265" s="69">
        <f>Table5[[#This Row],[العدد]]*Table5[[#This Row],[الفئة]]</f>
        <v>0</v>
      </c>
      <c r="K265" s="69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5" s="69"/>
      <c r="M265" s="69">
        <f>Table5[[#This Row],[الاجمالي]]-Table5[[#This Row],[المبلغ المدفوع]]</f>
        <v>0</v>
      </c>
      <c r="N265" s="60" t="s">
        <v>68</v>
      </c>
    </row>
    <row r="266" spans="1:14" hidden="1" x14ac:dyDescent="0.3">
      <c r="A266" s="52">
        <f t="shared" si="0"/>
        <v>263</v>
      </c>
      <c r="B266" s="55"/>
      <c r="C266" s="56"/>
      <c r="D266" s="55"/>
      <c r="E266" s="57"/>
      <c r="F266" s="59"/>
      <c r="G266" s="57"/>
      <c r="H266" s="57"/>
      <c r="I266" s="57"/>
      <c r="J266" s="57">
        <f>Table5[[#This Row],[العدد]]*Table5[[#This Row],[الفئة]]</f>
        <v>0</v>
      </c>
      <c r="K26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6" s="57"/>
      <c r="M266" s="57">
        <f>Table5[[#This Row],[الاجمالي]]-Table5[[#This Row],[المبلغ المدفوع]]</f>
        <v>0</v>
      </c>
      <c r="N266" s="60"/>
    </row>
    <row r="267" spans="1:14" hidden="1" x14ac:dyDescent="0.3">
      <c r="A267" s="52">
        <f t="shared" si="0"/>
        <v>264</v>
      </c>
      <c r="B267" s="55" t="s">
        <v>66</v>
      </c>
      <c r="C267" s="56">
        <v>45337</v>
      </c>
      <c r="D267" s="55">
        <v>293</v>
      </c>
      <c r="E267" s="69"/>
      <c r="F267" s="70"/>
      <c r="G267" s="69"/>
      <c r="H267" s="69"/>
      <c r="I267" s="69"/>
      <c r="J267" s="69">
        <f>Table5[[#This Row],[العدد]]*Table5[[#This Row],[الفئة]]</f>
        <v>0</v>
      </c>
      <c r="K267" s="69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7" s="69"/>
      <c r="M267" s="69">
        <f>Table5[[#This Row],[الاجمالي]]-Table5[[#This Row],[المبلغ المدفوع]]</f>
        <v>0</v>
      </c>
      <c r="N267" s="60" t="s">
        <v>68</v>
      </c>
    </row>
    <row r="268" spans="1:14" hidden="1" x14ac:dyDescent="0.3">
      <c r="A268" s="52">
        <f t="shared" si="0"/>
        <v>265</v>
      </c>
      <c r="B268" s="55"/>
      <c r="C268" s="56"/>
      <c r="D268" s="55"/>
      <c r="E268" s="57"/>
      <c r="F268" s="59"/>
      <c r="G268" s="57"/>
      <c r="H268" s="57"/>
      <c r="I268" s="57"/>
      <c r="J268" s="57">
        <f>Table5[[#This Row],[العدد]]*Table5[[#This Row],[الفئة]]</f>
        <v>0</v>
      </c>
      <c r="K26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68" s="57"/>
      <c r="M268" s="57">
        <f>Table5[[#This Row],[الاجمالي]]-Table5[[#This Row],[المبلغ المدفوع]]</f>
        <v>0</v>
      </c>
      <c r="N268" s="60"/>
    </row>
    <row r="269" spans="1:14" hidden="1" x14ac:dyDescent="0.3">
      <c r="A269" s="52">
        <f t="shared" si="0"/>
        <v>266</v>
      </c>
      <c r="B269" s="55" t="s">
        <v>101</v>
      </c>
      <c r="C269" s="56">
        <v>45338</v>
      </c>
      <c r="D269" s="55">
        <v>294</v>
      </c>
      <c r="E269" s="57">
        <v>15</v>
      </c>
      <c r="F269" s="59">
        <v>5</v>
      </c>
      <c r="G269" s="57">
        <v>44</v>
      </c>
      <c r="H269" s="57"/>
      <c r="I269" s="57"/>
      <c r="J269" s="57">
        <f>Table5[[#This Row],[العدد]]*Table5[[#This Row],[الفئة]]</f>
        <v>75</v>
      </c>
      <c r="K26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3300</v>
      </c>
      <c r="L269" s="57">
        <f>Table5[[#This Row],[الاجمالي]]</f>
        <v>3300</v>
      </c>
      <c r="M269" s="57">
        <f>Table5[[#This Row],[الاجمالي]]-Table5[[#This Row],[المبلغ المدفوع]]</f>
        <v>0</v>
      </c>
      <c r="N269" s="60"/>
    </row>
    <row r="270" spans="1:14" hidden="1" x14ac:dyDescent="0.3">
      <c r="A270" s="52">
        <f t="shared" si="0"/>
        <v>267</v>
      </c>
      <c r="B270" s="55" t="s">
        <v>101</v>
      </c>
      <c r="C270" s="56">
        <v>45338</v>
      </c>
      <c r="D270" s="55">
        <v>294</v>
      </c>
      <c r="E270" s="57">
        <v>30</v>
      </c>
      <c r="F270" s="59">
        <v>1.6</v>
      </c>
      <c r="G270" s="57">
        <v>40</v>
      </c>
      <c r="H270" s="57"/>
      <c r="I270" s="57"/>
      <c r="J270" s="57">
        <f>Table5[[#This Row],[العدد]]*Table5[[#This Row],[الفئة]]</f>
        <v>48</v>
      </c>
      <c r="K27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2400</v>
      </c>
      <c r="L270" s="57">
        <f>Table5[[#This Row],[الاجمالي]]</f>
        <v>2400</v>
      </c>
      <c r="M270" s="57">
        <f>Table5[[#This Row],[الاجمالي]]-Table5[[#This Row],[المبلغ المدفوع]]</f>
        <v>0</v>
      </c>
      <c r="N270" s="60"/>
    </row>
    <row r="271" spans="1:14" hidden="1" x14ac:dyDescent="0.3">
      <c r="A271" s="52">
        <f t="shared" si="0"/>
        <v>268</v>
      </c>
      <c r="B271" s="55"/>
      <c r="C271" s="56"/>
      <c r="D271" s="55"/>
      <c r="E271" s="57"/>
      <c r="F271" s="59"/>
      <c r="G271" s="57"/>
      <c r="H271" s="57"/>
      <c r="I271" s="57"/>
      <c r="J271" s="57">
        <f>Table5[[#This Row],[العدد]]*Table5[[#This Row],[الفئة]]</f>
        <v>0</v>
      </c>
      <c r="K27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71" s="57"/>
      <c r="M271" s="57">
        <f>Table5[[#This Row],[الاجمالي]]-Table5[[#This Row],[المبلغ المدفوع]]</f>
        <v>0</v>
      </c>
      <c r="N271" s="60"/>
    </row>
    <row r="272" spans="1:14" hidden="1" x14ac:dyDescent="0.3">
      <c r="A272" s="52">
        <f t="shared" si="0"/>
        <v>269</v>
      </c>
      <c r="B272" s="55" t="s">
        <v>102</v>
      </c>
      <c r="C272" s="56">
        <v>45338</v>
      </c>
      <c r="D272" s="55">
        <v>295</v>
      </c>
      <c r="E272" s="57">
        <v>5</v>
      </c>
      <c r="F272" s="59">
        <v>5</v>
      </c>
      <c r="G272" s="57">
        <v>44</v>
      </c>
      <c r="H272" s="57"/>
      <c r="I272" s="57"/>
      <c r="J272" s="57">
        <f>Table5[[#This Row],[العدد]]*Table5[[#This Row],[الفئة]]</f>
        <v>25</v>
      </c>
      <c r="K27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1100</v>
      </c>
      <c r="L272" s="57">
        <f>Table5[[#This Row],[الاجمالي]]</f>
        <v>1100</v>
      </c>
      <c r="M272" s="57">
        <f>Table5[[#This Row],[الاجمالي]]-Table5[[#This Row],[المبلغ المدفوع]]</f>
        <v>0</v>
      </c>
      <c r="N272" s="60"/>
    </row>
    <row r="273" spans="1:14" hidden="1" x14ac:dyDescent="0.3">
      <c r="A273" s="52">
        <f t="shared" si="0"/>
        <v>270</v>
      </c>
      <c r="B273" s="55" t="s">
        <v>102</v>
      </c>
      <c r="C273" s="56">
        <v>45338</v>
      </c>
      <c r="D273" s="55">
        <v>295</v>
      </c>
      <c r="E273" s="57">
        <v>30</v>
      </c>
      <c r="F273" s="59">
        <v>1.6</v>
      </c>
      <c r="G273" s="57">
        <v>40</v>
      </c>
      <c r="H273" s="57"/>
      <c r="I273" s="57"/>
      <c r="J273" s="57">
        <f>Table5[[#This Row],[العدد]]*Table5[[#This Row],[الفئة]]</f>
        <v>48</v>
      </c>
      <c r="K27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2400</v>
      </c>
      <c r="L273" s="57">
        <f>Table5[[#This Row],[الاجمالي]]</f>
        <v>2400</v>
      </c>
      <c r="M273" s="57">
        <f>Table5[[#This Row],[الاجمالي]]-Table5[[#This Row],[المبلغ المدفوع]]</f>
        <v>0</v>
      </c>
      <c r="N273" s="60"/>
    </row>
    <row r="274" spans="1:14" hidden="1" x14ac:dyDescent="0.3">
      <c r="A274" s="52">
        <f t="shared" si="0"/>
        <v>271</v>
      </c>
      <c r="B274" s="55" t="s">
        <v>102</v>
      </c>
      <c r="C274" s="56">
        <v>45338</v>
      </c>
      <c r="D274" s="55">
        <v>295</v>
      </c>
      <c r="E274" s="57">
        <v>50</v>
      </c>
      <c r="F274" s="59">
        <v>0.8</v>
      </c>
      <c r="G274" s="57">
        <v>38</v>
      </c>
      <c r="H274" s="57"/>
      <c r="I274" s="57"/>
      <c r="J274" s="57">
        <f>Table5[[#This Row],[العدد]]*Table5[[#This Row],[الفئة]]</f>
        <v>40</v>
      </c>
      <c r="K27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</v>
      </c>
      <c r="L274" s="57">
        <f>Table5[[#This Row],[الاجمالي]]</f>
        <v>1900</v>
      </c>
      <c r="M274" s="57">
        <f>Table5[[#This Row],[الاجمالي]]-Table5[[#This Row],[المبلغ المدفوع]]</f>
        <v>0</v>
      </c>
      <c r="N274" s="60"/>
    </row>
    <row r="275" spans="1:14" hidden="1" x14ac:dyDescent="0.3">
      <c r="A275" s="52">
        <f t="shared" si="0"/>
        <v>272</v>
      </c>
      <c r="B275" s="55" t="s">
        <v>102</v>
      </c>
      <c r="C275" s="56">
        <v>45338</v>
      </c>
      <c r="D275" s="55">
        <v>295</v>
      </c>
      <c r="E275" s="57">
        <v>96</v>
      </c>
      <c r="F275" s="59">
        <v>1</v>
      </c>
      <c r="G275" s="57">
        <v>40</v>
      </c>
      <c r="H275" s="57"/>
      <c r="I275" s="57"/>
      <c r="J275" s="57">
        <f>Table5[[#This Row],[العدد]]*Table5[[#This Row],[الفئة]]</f>
        <v>96</v>
      </c>
      <c r="K27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3840</v>
      </c>
      <c r="L275" s="57">
        <f>Table5[[#This Row],[الاجمالي]]</f>
        <v>3840</v>
      </c>
      <c r="M275" s="57">
        <f>Table5[[#This Row],[الاجمالي]]-Table5[[#This Row],[المبلغ المدفوع]]</f>
        <v>0</v>
      </c>
      <c r="N275" s="60" t="s">
        <v>103</v>
      </c>
    </row>
    <row r="276" spans="1:14" hidden="1" x14ac:dyDescent="0.3">
      <c r="A276" s="52">
        <f t="shared" si="0"/>
        <v>273</v>
      </c>
      <c r="B276" s="55"/>
      <c r="C276" s="56"/>
      <c r="D276" s="55"/>
      <c r="E276" s="57"/>
      <c r="F276" s="59"/>
      <c r="G276" s="57"/>
      <c r="H276" s="57"/>
      <c r="I276" s="57"/>
      <c r="J276" s="57">
        <f>Table5[[#This Row],[العدد]]*Table5[[#This Row],[الفئة]]</f>
        <v>0</v>
      </c>
      <c r="K27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76" s="57"/>
      <c r="M276" s="57">
        <f>Table5[[#This Row],[الاجمالي]]-Table5[[#This Row],[المبلغ المدفوع]]</f>
        <v>0</v>
      </c>
      <c r="N276" s="60"/>
    </row>
    <row r="277" spans="1:14" hidden="1" x14ac:dyDescent="0.3">
      <c r="A277" s="52">
        <f>A276+1</f>
        <v>274</v>
      </c>
      <c r="B277" s="55" t="s">
        <v>145</v>
      </c>
      <c r="C277" s="56">
        <v>45339</v>
      </c>
      <c r="D277" s="55">
        <v>296</v>
      </c>
      <c r="E277" s="57">
        <v>1</v>
      </c>
      <c r="F277" s="59">
        <v>5</v>
      </c>
      <c r="G277" s="57">
        <v>44</v>
      </c>
      <c r="H277" s="57"/>
      <c r="I277" s="57"/>
      <c r="J277" s="57">
        <f>Table5[[#This Row],[العدد]]*Table5[[#This Row],[الفئة]]</f>
        <v>5</v>
      </c>
      <c r="K27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220</v>
      </c>
      <c r="L277" s="57">
        <f>Table5[[#This Row],[الاجمالي]]</f>
        <v>220</v>
      </c>
      <c r="M277" s="57">
        <f>Table5[[#This Row],[الاجمالي]]-Table5[[#This Row],[المبلغ المدفوع]]</f>
        <v>0</v>
      </c>
      <c r="N277" s="60"/>
    </row>
    <row r="278" spans="1:14" hidden="1" x14ac:dyDescent="0.3">
      <c r="A278" s="52">
        <f t="shared" si="0"/>
        <v>275</v>
      </c>
      <c r="B278" s="55" t="s">
        <v>145</v>
      </c>
      <c r="C278" s="56">
        <v>45339</v>
      </c>
      <c r="D278" s="55">
        <v>296</v>
      </c>
      <c r="E278" s="57">
        <v>3</v>
      </c>
      <c r="F278" s="59">
        <v>1.6</v>
      </c>
      <c r="G278" s="57">
        <v>40</v>
      </c>
      <c r="H278" s="57"/>
      <c r="I278" s="57"/>
      <c r="J278" s="57">
        <f>Table5[[#This Row],[العدد]]*Table5[[#This Row],[الفئة]]</f>
        <v>4.8000000000000007</v>
      </c>
      <c r="K27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240</v>
      </c>
      <c r="L278" s="57">
        <f>Table5[[#This Row],[الاجمالي]]</f>
        <v>240</v>
      </c>
      <c r="M278" s="57">
        <f>Table5[[#This Row],[الاجمالي]]-Table5[[#This Row],[المبلغ المدفوع]]</f>
        <v>0</v>
      </c>
      <c r="N278" s="60"/>
    </row>
    <row r="279" spans="1:14" hidden="1" x14ac:dyDescent="0.3">
      <c r="A279" s="52">
        <f t="shared" si="0"/>
        <v>276</v>
      </c>
      <c r="B279" s="55"/>
      <c r="C279" s="56"/>
      <c r="D279" s="55"/>
      <c r="E279" s="57"/>
      <c r="F279" s="59"/>
      <c r="G279" s="57"/>
      <c r="H279" s="57"/>
      <c r="I279" s="57"/>
      <c r="J279" s="57">
        <f>Table5[[#This Row],[العدد]]*Table5[[#This Row],[الفئة]]</f>
        <v>0</v>
      </c>
      <c r="K27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79" s="57"/>
      <c r="M279" s="57">
        <f>Table5[[#This Row],[الاجمالي]]-Table5[[#This Row],[المبلغ المدفوع]]</f>
        <v>0</v>
      </c>
      <c r="N279" s="60"/>
    </row>
    <row r="280" spans="1:14" hidden="1" x14ac:dyDescent="0.3">
      <c r="A280" s="52">
        <f t="shared" ref="A280:A312" si="2">A279+1</f>
        <v>277</v>
      </c>
      <c r="B280" s="55" t="s">
        <v>27</v>
      </c>
      <c r="C280" s="56">
        <v>45339</v>
      </c>
      <c r="D280" s="55">
        <v>297</v>
      </c>
      <c r="E280" s="57">
        <v>70</v>
      </c>
      <c r="F280" s="59">
        <v>5</v>
      </c>
      <c r="G280" s="57">
        <v>40</v>
      </c>
      <c r="H280" s="57"/>
      <c r="I280" s="57"/>
      <c r="J280" s="57">
        <f>Table5[[#This Row],[العدد]]*Table5[[#This Row],[الفئة]]</f>
        <v>350</v>
      </c>
      <c r="K28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14000</v>
      </c>
      <c r="L280" s="57"/>
      <c r="M280" s="57">
        <f>Table5[[#This Row],[الاجمالي]]-Table5[[#This Row],[المبلغ المدفوع]]</f>
        <v>14000</v>
      </c>
      <c r="N280" s="60"/>
    </row>
    <row r="281" spans="1:14" hidden="1" x14ac:dyDescent="0.3">
      <c r="A281" s="52">
        <f t="shared" si="2"/>
        <v>278</v>
      </c>
      <c r="B281" s="55" t="s">
        <v>27</v>
      </c>
      <c r="C281" s="56">
        <v>45339</v>
      </c>
      <c r="D281" s="55">
        <v>297</v>
      </c>
      <c r="E281" s="57">
        <v>52</v>
      </c>
      <c r="F281" s="59">
        <v>1.6</v>
      </c>
      <c r="G281" s="57">
        <v>38</v>
      </c>
      <c r="H281" s="57"/>
      <c r="I281" s="57"/>
      <c r="J281" s="57">
        <f>Table5[[#This Row],[العدد]]*Table5[[#This Row],[الفئة]]</f>
        <v>83.2</v>
      </c>
      <c r="K28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3952</v>
      </c>
      <c r="L281" s="57"/>
      <c r="M281" s="57">
        <f>Table5[[#This Row],[الاجمالي]]-Table5[[#This Row],[المبلغ المدفوع]]</f>
        <v>3952</v>
      </c>
      <c r="N281" s="60"/>
    </row>
    <row r="282" spans="1:14" hidden="1" x14ac:dyDescent="0.3">
      <c r="A282" s="52">
        <f t="shared" si="2"/>
        <v>279</v>
      </c>
      <c r="B282" s="55" t="s">
        <v>27</v>
      </c>
      <c r="C282" s="56">
        <v>45339</v>
      </c>
      <c r="D282" s="55">
        <v>297</v>
      </c>
      <c r="E282" s="57">
        <v>100</v>
      </c>
      <c r="F282" s="59">
        <v>0.8</v>
      </c>
      <c r="G282" s="57">
        <v>38</v>
      </c>
      <c r="H282" s="57"/>
      <c r="I282" s="57"/>
      <c r="J282" s="57">
        <f>Table5[[#This Row],[العدد]]*Table5[[#This Row],[الفئة]]</f>
        <v>80</v>
      </c>
      <c r="K28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282" s="57"/>
      <c r="M282" s="57">
        <f>Table5[[#This Row],[الاجمالي]]-Table5[[#This Row],[المبلغ المدفوع]]</f>
        <v>3800</v>
      </c>
      <c r="N282" s="60"/>
    </row>
    <row r="283" spans="1:14" hidden="1" x14ac:dyDescent="0.3">
      <c r="A283" s="52">
        <f t="shared" si="2"/>
        <v>280</v>
      </c>
      <c r="B283" s="55"/>
      <c r="C283" s="56"/>
      <c r="D283" s="55"/>
      <c r="E283" s="57"/>
      <c r="F283" s="59"/>
      <c r="G283" s="57"/>
      <c r="H283" s="57"/>
      <c r="I283" s="57"/>
      <c r="J283" s="57">
        <f>Table5[[#This Row],[العدد]]*Table5[[#This Row],[الفئة]]</f>
        <v>0</v>
      </c>
      <c r="K28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83" s="57"/>
      <c r="M283" s="57">
        <f>Table5[[#This Row],[الاجمالي]]-Table5[[#This Row],[المبلغ المدفوع]]</f>
        <v>0</v>
      </c>
      <c r="N283" s="60"/>
    </row>
    <row r="284" spans="1:14" hidden="1" x14ac:dyDescent="0.3">
      <c r="A284" s="52">
        <f t="shared" si="2"/>
        <v>281</v>
      </c>
      <c r="B284" s="55" t="s">
        <v>130</v>
      </c>
      <c r="C284" s="56">
        <v>45339</v>
      </c>
      <c r="D284" s="55">
        <v>298</v>
      </c>
      <c r="E284" s="57">
        <v>150</v>
      </c>
      <c r="F284" s="59">
        <v>5</v>
      </c>
      <c r="G284" s="57">
        <v>40</v>
      </c>
      <c r="H284" s="57"/>
      <c r="I284" s="57"/>
      <c r="J284" s="57">
        <f>Table5[[#This Row],[العدد]]*Table5[[#This Row],[الفئة]]</f>
        <v>750</v>
      </c>
      <c r="K28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30000</v>
      </c>
      <c r="L284" s="57"/>
      <c r="M284" s="57">
        <f>Table5[[#This Row],[الاجمالي]]-Table5[[#This Row],[المبلغ المدفوع]]</f>
        <v>30000</v>
      </c>
      <c r="N284" s="60"/>
    </row>
    <row r="285" spans="1:14" hidden="1" x14ac:dyDescent="0.3">
      <c r="A285" s="52">
        <f t="shared" si="2"/>
        <v>282</v>
      </c>
      <c r="B285" s="55" t="s">
        <v>130</v>
      </c>
      <c r="C285" s="56">
        <v>45339</v>
      </c>
      <c r="D285" s="55">
        <v>298</v>
      </c>
      <c r="E285" s="57">
        <v>50</v>
      </c>
      <c r="F285" s="59">
        <v>1.6</v>
      </c>
      <c r="G285" s="57">
        <v>38</v>
      </c>
      <c r="H285" s="57"/>
      <c r="I285" s="57"/>
      <c r="J285" s="57">
        <f>Table5[[#This Row],[العدد]]*Table5[[#This Row],[الفئة]]</f>
        <v>80</v>
      </c>
      <c r="K28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285" s="57"/>
      <c r="M285" s="57">
        <f>Table5[[#This Row],[الاجمالي]]-Table5[[#This Row],[المبلغ المدفوع]]</f>
        <v>3800</v>
      </c>
      <c r="N285" s="60"/>
    </row>
    <row r="286" spans="1:14" hidden="1" x14ac:dyDescent="0.3">
      <c r="A286" s="52">
        <f t="shared" si="2"/>
        <v>283</v>
      </c>
      <c r="B286" s="55" t="s">
        <v>130</v>
      </c>
      <c r="C286" s="56">
        <v>45339</v>
      </c>
      <c r="D286" s="55">
        <v>298</v>
      </c>
      <c r="E286" s="57">
        <v>100</v>
      </c>
      <c r="F286" s="59">
        <v>0.8</v>
      </c>
      <c r="G286" s="57">
        <v>38</v>
      </c>
      <c r="H286" s="57"/>
      <c r="I286" s="57"/>
      <c r="J286" s="57">
        <f>Table5[[#This Row],[العدد]]*Table5[[#This Row],[الفئة]]</f>
        <v>80</v>
      </c>
      <c r="K28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286" s="57"/>
      <c r="M286" s="57">
        <f>Table5[[#This Row],[الاجمالي]]-Table5[[#This Row],[المبلغ المدفوع]]</f>
        <v>3800</v>
      </c>
      <c r="N286" s="60"/>
    </row>
    <row r="287" spans="1:14" hidden="1" x14ac:dyDescent="0.3">
      <c r="A287" s="52">
        <f t="shared" si="2"/>
        <v>284</v>
      </c>
      <c r="B287" s="55"/>
      <c r="C287" s="56"/>
      <c r="D287" s="55"/>
      <c r="E287" s="57"/>
      <c r="F287" s="59"/>
      <c r="G287" s="57"/>
      <c r="H287" s="57"/>
      <c r="I287" s="57"/>
      <c r="J287" s="57">
        <f>Table5[[#This Row],[العدد]]*Table5[[#This Row],[الفئة]]</f>
        <v>0</v>
      </c>
      <c r="K28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87" s="57"/>
      <c r="M287" s="57">
        <f>Table5[[#This Row],[الاجمالي]]-Table5[[#This Row],[المبلغ المدفوع]]</f>
        <v>0</v>
      </c>
      <c r="N287" s="60"/>
    </row>
    <row r="288" spans="1:14" hidden="1" x14ac:dyDescent="0.3">
      <c r="A288" s="52">
        <f t="shared" si="2"/>
        <v>285</v>
      </c>
      <c r="B288" s="55" t="s">
        <v>41</v>
      </c>
      <c r="C288" s="56">
        <v>45339</v>
      </c>
      <c r="D288" s="55">
        <v>299</v>
      </c>
      <c r="E288" s="57">
        <v>202</v>
      </c>
      <c r="F288" s="59">
        <v>5</v>
      </c>
      <c r="G288" s="57">
        <v>40</v>
      </c>
      <c r="H288" s="57"/>
      <c r="I288" s="57"/>
      <c r="J288" s="57">
        <f>Table5[[#This Row],[العدد]]*Table5[[#This Row],[الفئة]]</f>
        <v>1010</v>
      </c>
      <c r="K28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40400</v>
      </c>
      <c r="L288" s="57"/>
      <c r="M288" s="57">
        <f>Table5[[#This Row],[الاجمالي]]-Table5[[#This Row],[المبلغ المدفوع]]</f>
        <v>40400</v>
      </c>
      <c r="N288" s="60"/>
    </row>
    <row r="289" spans="1:14" hidden="1" x14ac:dyDescent="0.3">
      <c r="A289" s="52">
        <f t="shared" si="2"/>
        <v>286</v>
      </c>
      <c r="B289" s="55" t="s">
        <v>41</v>
      </c>
      <c r="C289" s="56">
        <v>45339</v>
      </c>
      <c r="D289" s="55">
        <v>299</v>
      </c>
      <c r="E289" s="57">
        <v>200</v>
      </c>
      <c r="F289" s="59">
        <v>0.8</v>
      </c>
      <c r="G289" s="57">
        <v>38</v>
      </c>
      <c r="H289" s="57"/>
      <c r="I289" s="57"/>
      <c r="J289" s="57">
        <f>Table5[[#This Row],[العدد]]*Table5[[#This Row],[الفئة]]</f>
        <v>160</v>
      </c>
      <c r="K289" s="62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289" s="57"/>
      <c r="M289" s="57">
        <f>Table5[[#This Row],[الاجمالي]]-Table5[[#This Row],[المبلغ المدفوع]]</f>
        <v>7600</v>
      </c>
      <c r="N289" s="60"/>
    </row>
    <row r="290" spans="1:14" hidden="1" x14ac:dyDescent="0.3">
      <c r="A290" s="52">
        <f t="shared" si="2"/>
        <v>287</v>
      </c>
      <c r="B290" s="55" t="s">
        <v>41</v>
      </c>
      <c r="C290" s="56">
        <v>45339</v>
      </c>
      <c r="D290" s="55">
        <v>299</v>
      </c>
      <c r="E290" s="57">
        <v>50</v>
      </c>
      <c r="F290" s="59">
        <v>1.6</v>
      </c>
      <c r="G290" s="57">
        <v>38</v>
      </c>
      <c r="H290" s="57"/>
      <c r="I290" s="57"/>
      <c r="J290" s="57">
        <f>Table5[[#This Row],[العدد]]*Table5[[#This Row],[الفئة]]</f>
        <v>80</v>
      </c>
      <c r="K29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290" s="57"/>
      <c r="M290" s="57">
        <f>Table5[[#This Row],[الاجمالي]]-Table5[[#This Row],[المبلغ المدفوع]]</f>
        <v>3800</v>
      </c>
      <c r="N290" s="60"/>
    </row>
    <row r="291" spans="1:14" hidden="1" x14ac:dyDescent="0.3">
      <c r="A291" s="52">
        <f t="shared" si="2"/>
        <v>288</v>
      </c>
      <c r="B291" s="55"/>
      <c r="C291" s="56"/>
      <c r="D291" s="55"/>
      <c r="E291" s="57"/>
      <c r="F291" s="59"/>
      <c r="G291" s="57"/>
      <c r="H291" s="57"/>
      <c r="I291" s="57"/>
      <c r="J291" s="57">
        <f>Table5[[#This Row],[العدد]]*Table5[[#This Row],[الفئة]]</f>
        <v>0</v>
      </c>
      <c r="K29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91" s="57"/>
      <c r="M291" s="57">
        <f>Table5[[#This Row],[الاجمالي]]-Table5[[#This Row],[المبلغ المدفوع]]</f>
        <v>0</v>
      </c>
      <c r="N291" s="60"/>
    </row>
    <row r="292" spans="1:14" x14ac:dyDescent="0.3">
      <c r="A292" s="52">
        <f t="shared" si="0"/>
        <v>289</v>
      </c>
      <c r="B292" s="55" t="s">
        <v>29</v>
      </c>
      <c r="C292" s="56">
        <v>45339</v>
      </c>
      <c r="D292" s="55">
        <v>300</v>
      </c>
      <c r="E292" s="57">
        <v>400</v>
      </c>
      <c r="F292" s="59">
        <v>5</v>
      </c>
      <c r="G292" s="57">
        <v>38</v>
      </c>
      <c r="H292" s="57"/>
      <c r="I292" s="57"/>
      <c r="J292" s="57">
        <f>Table5[[#This Row],[العدد]]*Table5[[#This Row],[الفئة]]</f>
        <v>2000</v>
      </c>
      <c r="K29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76000</v>
      </c>
      <c r="L292" s="57">
        <v>70000</v>
      </c>
      <c r="M292" s="57">
        <f>Table5[[#This Row],[الاجمالي]]-Table5[[#This Row],[المبلغ المدفوع]]</f>
        <v>6000</v>
      </c>
      <c r="N292" s="60"/>
    </row>
    <row r="293" spans="1:14" x14ac:dyDescent="0.3">
      <c r="A293" s="52">
        <f>A292+1</f>
        <v>290</v>
      </c>
      <c r="B293" s="55" t="s">
        <v>29</v>
      </c>
      <c r="C293" s="56">
        <v>45339</v>
      </c>
      <c r="D293" s="55">
        <v>300</v>
      </c>
      <c r="E293" s="58">
        <v>24</v>
      </c>
      <c r="F293" s="59">
        <v>5</v>
      </c>
      <c r="G293" s="57">
        <v>38</v>
      </c>
      <c r="H293" s="57"/>
      <c r="I293" s="57"/>
      <c r="J293" s="57">
        <f>Table5[[#This Row],[العدد]]*Table5[[#This Row],[الفئة]]</f>
        <v>120</v>
      </c>
      <c r="K29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4560</v>
      </c>
      <c r="L293" s="57">
        <v>10000</v>
      </c>
      <c r="M293" s="57">
        <f>Table5[[#This Row],[الاجمالي]]-Table5[[#This Row],[المبلغ المدفوع]]</f>
        <v>-5440</v>
      </c>
      <c r="N293" s="60"/>
    </row>
    <row r="294" spans="1:14" x14ac:dyDescent="0.3">
      <c r="A294" s="52">
        <f>A293+1</f>
        <v>291</v>
      </c>
      <c r="B294" s="55" t="s">
        <v>29</v>
      </c>
      <c r="C294" s="56">
        <v>45339</v>
      </c>
      <c r="D294" s="55">
        <v>300</v>
      </c>
      <c r="E294" s="57">
        <v>15</v>
      </c>
      <c r="F294" s="59">
        <v>5</v>
      </c>
      <c r="G294" s="57">
        <v>38</v>
      </c>
      <c r="H294" s="57"/>
      <c r="I294" s="57"/>
      <c r="J294" s="57">
        <f>Table5[[#This Row],[العدد]]*Table5[[#This Row],[الفئة]]</f>
        <v>75</v>
      </c>
      <c r="K29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2850</v>
      </c>
      <c r="L294" s="57">
        <v>60000</v>
      </c>
      <c r="M294" s="57">
        <f>Table5[[#This Row],[الاجمالي]]-Table5[[#This Row],[المبلغ المدفوع]]</f>
        <v>-57150</v>
      </c>
      <c r="N294" s="60"/>
    </row>
    <row r="295" spans="1:14" x14ac:dyDescent="0.3">
      <c r="A295" s="52">
        <f>A294+1</f>
        <v>292</v>
      </c>
      <c r="B295" s="55" t="s">
        <v>29</v>
      </c>
      <c r="C295" s="56">
        <v>45339</v>
      </c>
      <c r="D295" s="55">
        <v>300</v>
      </c>
      <c r="E295" s="57">
        <v>10</v>
      </c>
      <c r="F295" s="59">
        <v>0.8</v>
      </c>
      <c r="G295" s="57">
        <v>38</v>
      </c>
      <c r="H295" s="57"/>
      <c r="I295" s="57"/>
      <c r="J295" s="57">
        <f>Table5[[#This Row],[العدد]]*Table5[[#This Row],[الفئة]]</f>
        <v>8</v>
      </c>
      <c r="K29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</v>
      </c>
      <c r="L295" s="57">
        <v>45000</v>
      </c>
      <c r="M295" s="57">
        <f>Table5[[#This Row],[الاجمالي]]-Table5[[#This Row],[المبلغ المدفوع]]</f>
        <v>-44620</v>
      </c>
      <c r="N295" s="60"/>
    </row>
    <row r="296" spans="1:14" x14ac:dyDescent="0.3">
      <c r="A296" s="52">
        <f>A295+1</f>
        <v>293</v>
      </c>
      <c r="B296" s="55" t="s">
        <v>29</v>
      </c>
      <c r="C296" s="56">
        <v>45339</v>
      </c>
      <c r="D296" s="55">
        <v>300</v>
      </c>
      <c r="E296" s="57">
        <v>11</v>
      </c>
      <c r="F296" s="59">
        <v>5</v>
      </c>
      <c r="G296" s="57">
        <v>38</v>
      </c>
      <c r="H296" s="57"/>
      <c r="I296" s="57"/>
      <c r="J296" s="57">
        <f>Table5[[#This Row],[العدد]]*Table5[[#This Row],[الفئة]]</f>
        <v>55</v>
      </c>
      <c r="K29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2090</v>
      </c>
      <c r="L296" s="57"/>
      <c r="M296" s="57">
        <f>Table5[[#This Row],[الاجمالي]]-Table5[[#This Row],[المبلغ المدفوع]]</f>
        <v>2090</v>
      </c>
      <c r="N296" s="60"/>
    </row>
    <row r="297" spans="1:14" hidden="1" x14ac:dyDescent="0.3">
      <c r="A297" s="52">
        <f t="shared" si="2"/>
        <v>294</v>
      </c>
      <c r="B297" s="55"/>
      <c r="C297" s="56"/>
      <c r="D297" s="55"/>
      <c r="E297" s="57"/>
      <c r="F297" s="59"/>
      <c r="G297" s="57"/>
      <c r="H297" s="57"/>
      <c r="I297" s="57"/>
      <c r="J297" s="57">
        <f>Table5[[#This Row],[العدد]]*Table5[[#This Row],[الفئة]]</f>
        <v>0</v>
      </c>
      <c r="K29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97" s="57"/>
      <c r="M297" s="57">
        <f>Table5[[#This Row],[الاجمالي]]-Table5[[#This Row],[المبلغ المدفوع]]</f>
        <v>0</v>
      </c>
      <c r="N297" s="60"/>
    </row>
    <row r="298" spans="1:14" hidden="1" x14ac:dyDescent="0.3">
      <c r="A298" s="52">
        <f t="shared" si="2"/>
        <v>295</v>
      </c>
      <c r="B298" s="55" t="s">
        <v>104</v>
      </c>
      <c r="C298" s="56">
        <v>45339</v>
      </c>
      <c r="D298" s="55">
        <v>301</v>
      </c>
      <c r="E298" s="57">
        <v>230</v>
      </c>
      <c r="F298" s="59">
        <v>5</v>
      </c>
      <c r="G298" s="57">
        <v>40</v>
      </c>
      <c r="H298" s="57"/>
      <c r="I298" s="57"/>
      <c r="J298" s="57">
        <f>Table5[[#This Row],[العدد]]*Table5[[#This Row],[الفئة]]</f>
        <v>1150</v>
      </c>
      <c r="K29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46000</v>
      </c>
      <c r="L298" s="57"/>
      <c r="M298" s="57">
        <f>Table5[[#This Row],[الاجمالي]]-Table5[[#This Row],[المبلغ المدفوع]]</f>
        <v>46000</v>
      </c>
      <c r="N298" s="60"/>
    </row>
    <row r="299" spans="1:14" hidden="1" x14ac:dyDescent="0.3">
      <c r="A299" s="52">
        <f t="shared" si="2"/>
        <v>296</v>
      </c>
      <c r="B299" s="55" t="s">
        <v>104</v>
      </c>
      <c r="C299" s="56">
        <v>45339</v>
      </c>
      <c r="D299" s="55">
        <v>301</v>
      </c>
      <c r="E299" s="57">
        <v>2</v>
      </c>
      <c r="F299" s="59">
        <v>5</v>
      </c>
      <c r="G299" s="62"/>
      <c r="H299" s="57"/>
      <c r="I299" s="57"/>
      <c r="J299" s="57">
        <f>Table5[[#This Row],[العدد]]*Table5[[#This Row],[الفئة]]</f>
        <v>10</v>
      </c>
      <c r="K29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299" s="57"/>
      <c r="M299" s="57">
        <f>Table5[[#This Row],[الاجمالي]]-Table5[[#This Row],[المبلغ المدفوع]]</f>
        <v>0</v>
      </c>
      <c r="N299" s="60"/>
    </row>
    <row r="300" spans="1:14" hidden="1" x14ac:dyDescent="0.3">
      <c r="A300" s="52">
        <f t="shared" si="2"/>
        <v>297</v>
      </c>
      <c r="B300" s="55"/>
      <c r="C300" s="56"/>
      <c r="D300" s="55"/>
      <c r="E300" s="57"/>
      <c r="F300" s="59"/>
      <c r="G300" s="57"/>
      <c r="H300" s="57"/>
      <c r="I300" s="57"/>
      <c r="J300" s="57">
        <f>Table5[[#This Row],[العدد]]*Table5[[#This Row],[الفئة]]</f>
        <v>0</v>
      </c>
      <c r="K30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00" s="57"/>
      <c r="M300" s="57">
        <f>Table5[[#This Row],[الاجمالي]]-Table5[[#This Row],[المبلغ المدفوع]]</f>
        <v>0</v>
      </c>
      <c r="N300" s="60"/>
    </row>
    <row r="301" spans="1:14" hidden="1" x14ac:dyDescent="0.3">
      <c r="A301" s="52">
        <f t="shared" si="2"/>
        <v>298</v>
      </c>
      <c r="B301" s="55" t="s">
        <v>19</v>
      </c>
      <c r="C301" s="56">
        <v>45339</v>
      </c>
      <c r="D301" s="55">
        <v>302</v>
      </c>
      <c r="E301" s="57">
        <v>365</v>
      </c>
      <c r="F301" s="59">
        <v>5</v>
      </c>
      <c r="G301" s="57">
        <v>40</v>
      </c>
      <c r="H301" s="57"/>
      <c r="I301" s="57"/>
      <c r="J301" s="57">
        <f>Table5[[#This Row],[العدد]]*Table5[[#This Row],[الفئة]]</f>
        <v>1825</v>
      </c>
      <c r="K30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73000</v>
      </c>
      <c r="L301" s="57"/>
      <c r="M301" s="57">
        <f>Table5[[#This Row],[الاجمالي]]-Table5[[#This Row],[المبلغ المدفوع]]</f>
        <v>73000</v>
      </c>
      <c r="N301" s="60"/>
    </row>
    <row r="302" spans="1:14" hidden="1" x14ac:dyDescent="0.3">
      <c r="A302" s="52">
        <f t="shared" si="2"/>
        <v>299</v>
      </c>
      <c r="B302" s="55" t="s">
        <v>19</v>
      </c>
      <c r="C302" s="56">
        <v>45339</v>
      </c>
      <c r="D302" s="55">
        <v>302</v>
      </c>
      <c r="E302" s="57">
        <v>50</v>
      </c>
      <c r="F302" s="59">
        <v>1.6</v>
      </c>
      <c r="G302" s="57">
        <v>38</v>
      </c>
      <c r="H302" s="57"/>
      <c r="I302" s="57"/>
      <c r="J302" s="57">
        <f>Table5[[#This Row],[العدد]]*Table5[[#This Row],[الفئة]]</f>
        <v>80</v>
      </c>
      <c r="K30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02" s="57"/>
      <c r="M302" s="57">
        <f>Table5[[#This Row],[الاجمالي]]-Table5[[#This Row],[المبلغ المدفوع]]</f>
        <v>3800</v>
      </c>
      <c r="N302" s="60"/>
    </row>
    <row r="303" spans="1:14" hidden="1" x14ac:dyDescent="0.3">
      <c r="A303" s="52">
        <f t="shared" si="2"/>
        <v>300</v>
      </c>
      <c r="B303" s="55" t="s">
        <v>19</v>
      </c>
      <c r="C303" s="56">
        <v>45339</v>
      </c>
      <c r="D303" s="55">
        <v>302</v>
      </c>
      <c r="E303" s="57">
        <v>100</v>
      </c>
      <c r="F303" s="59">
        <v>0.8</v>
      </c>
      <c r="G303" s="57">
        <v>38</v>
      </c>
      <c r="H303" s="57"/>
      <c r="I303" s="57"/>
      <c r="J303" s="57">
        <f>Table5[[#This Row],[العدد]]*Table5[[#This Row],[الفئة]]</f>
        <v>80</v>
      </c>
      <c r="K30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03" s="57"/>
      <c r="M303" s="57">
        <f>Table5[[#This Row],[الاجمالي]]-Table5[[#This Row],[المبلغ المدفوع]]</f>
        <v>3800</v>
      </c>
      <c r="N303" s="60"/>
    </row>
    <row r="304" spans="1:14" hidden="1" x14ac:dyDescent="0.3">
      <c r="A304" s="52">
        <f t="shared" si="2"/>
        <v>301</v>
      </c>
      <c r="B304" s="55"/>
      <c r="C304" s="56"/>
      <c r="D304" s="55"/>
      <c r="E304" s="57"/>
      <c r="F304" s="59"/>
      <c r="G304" s="57"/>
      <c r="H304" s="57"/>
      <c r="I304" s="57"/>
      <c r="J304" s="57">
        <f>Table5[[#This Row],[العدد]]*Table5[[#This Row],[الفئة]]</f>
        <v>0</v>
      </c>
      <c r="K30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04" s="57"/>
      <c r="M304" s="57">
        <f>Table5[[#This Row],[الاجمالي]]-Table5[[#This Row],[المبلغ المدفوع]]</f>
        <v>0</v>
      </c>
      <c r="N304" s="60"/>
    </row>
    <row r="305" spans="1:14" hidden="1" x14ac:dyDescent="0.3">
      <c r="A305" s="52">
        <f t="shared" si="2"/>
        <v>302</v>
      </c>
      <c r="B305" s="55" t="s">
        <v>105</v>
      </c>
      <c r="C305" s="56">
        <v>45339</v>
      </c>
      <c r="D305" s="55">
        <v>303</v>
      </c>
      <c r="E305" s="57">
        <v>250</v>
      </c>
      <c r="F305" s="59">
        <v>1.6</v>
      </c>
      <c r="G305" s="57">
        <v>37</v>
      </c>
      <c r="H305" s="57"/>
      <c r="I305" s="57"/>
      <c r="J305" s="57">
        <f>Table5[[#This Row],[العدد]]*Table5[[#This Row],[الفئة]]</f>
        <v>400</v>
      </c>
      <c r="K30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18500</v>
      </c>
      <c r="L305" s="57">
        <v>10000</v>
      </c>
      <c r="M305" s="57">
        <f>Table5[[#This Row],[الاجمالي]]-Table5[[#This Row],[المبلغ المدفوع]]</f>
        <v>8500</v>
      </c>
      <c r="N305" s="60"/>
    </row>
    <row r="306" spans="1:14" hidden="1" x14ac:dyDescent="0.3">
      <c r="A306" s="52">
        <f t="shared" si="2"/>
        <v>303</v>
      </c>
      <c r="B306" s="55" t="s">
        <v>105</v>
      </c>
      <c r="C306" s="56">
        <v>45339</v>
      </c>
      <c r="D306" s="55">
        <v>303</v>
      </c>
      <c r="E306" s="57">
        <v>500</v>
      </c>
      <c r="F306" s="59">
        <v>0.8</v>
      </c>
      <c r="G306" s="57">
        <v>37</v>
      </c>
      <c r="H306" s="57"/>
      <c r="I306" s="57"/>
      <c r="J306" s="57">
        <f>Table5[[#This Row],[العدد]]*Table5[[#This Row],[الفئة]]</f>
        <v>400</v>
      </c>
      <c r="K30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18500</v>
      </c>
      <c r="L306" s="57">
        <v>10000</v>
      </c>
      <c r="M306" s="57">
        <f>Table5[[#This Row],[الاجمالي]]-Table5[[#This Row],[المبلغ المدفوع]]</f>
        <v>8500</v>
      </c>
      <c r="N306" s="60"/>
    </row>
    <row r="307" spans="1:14" hidden="1" x14ac:dyDescent="0.3">
      <c r="A307" s="52">
        <f t="shared" si="2"/>
        <v>304</v>
      </c>
      <c r="B307" s="55"/>
      <c r="C307" s="56"/>
      <c r="D307" s="55"/>
      <c r="E307" s="57"/>
      <c r="F307" s="59"/>
      <c r="G307" s="57"/>
      <c r="H307" s="57"/>
      <c r="I307" s="57"/>
      <c r="J307" s="57">
        <f>Table5[[#This Row],[العدد]]*Table5[[#This Row],[الفئة]]</f>
        <v>0</v>
      </c>
      <c r="K30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07" s="57"/>
      <c r="M307" s="57">
        <f>Table5[[#This Row],[الاجمالي]]-Table5[[#This Row],[المبلغ المدفوع]]</f>
        <v>0</v>
      </c>
      <c r="N307" s="60"/>
    </row>
    <row r="308" spans="1:14" hidden="1" x14ac:dyDescent="0.3">
      <c r="A308" s="52">
        <f t="shared" si="2"/>
        <v>305</v>
      </c>
      <c r="B308" s="55" t="s">
        <v>106</v>
      </c>
      <c r="C308" s="56">
        <v>45341</v>
      </c>
      <c r="D308" s="55">
        <v>304</v>
      </c>
      <c r="E308" s="57">
        <v>200</v>
      </c>
      <c r="F308" s="59">
        <v>5</v>
      </c>
      <c r="G308" s="57">
        <v>40</v>
      </c>
      <c r="H308" s="57"/>
      <c r="I308" s="57"/>
      <c r="J308" s="57">
        <f>Table5[[#This Row],[العدد]]*Table5[[#This Row],[الفئة]]</f>
        <v>1000</v>
      </c>
      <c r="K30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308" s="57"/>
      <c r="M308" s="57">
        <f>Table5[[#This Row],[الاجمالي]]-Table5[[#This Row],[المبلغ المدفوع]]</f>
        <v>40000</v>
      </c>
      <c r="N308" s="60"/>
    </row>
    <row r="309" spans="1:14" hidden="1" x14ac:dyDescent="0.3">
      <c r="A309" s="52">
        <f t="shared" si="2"/>
        <v>306</v>
      </c>
      <c r="B309" s="55" t="s">
        <v>106</v>
      </c>
      <c r="C309" s="56">
        <v>45341</v>
      </c>
      <c r="D309" s="55">
        <v>304</v>
      </c>
      <c r="E309" s="57">
        <v>50</v>
      </c>
      <c r="F309" s="59">
        <v>5</v>
      </c>
      <c r="G309" s="57">
        <v>44</v>
      </c>
      <c r="H309" s="57"/>
      <c r="I309" s="57"/>
      <c r="J309" s="57">
        <f>Table5[[#This Row],[العدد]]*Table5[[#This Row],[الفئة]]</f>
        <v>250</v>
      </c>
      <c r="K30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11000</v>
      </c>
      <c r="L309" s="57"/>
      <c r="M309" s="57">
        <f>Table5[[#This Row],[الاجمالي]]-Table5[[#This Row],[المبلغ المدفوع]]</f>
        <v>11000</v>
      </c>
      <c r="N309" s="60"/>
    </row>
    <row r="310" spans="1:14" hidden="1" x14ac:dyDescent="0.3">
      <c r="A310" s="52">
        <f t="shared" si="2"/>
        <v>307</v>
      </c>
      <c r="B310" s="55" t="s">
        <v>106</v>
      </c>
      <c r="C310" s="56">
        <v>45341</v>
      </c>
      <c r="D310" s="55">
        <v>304</v>
      </c>
      <c r="E310" s="57">
        <v>50</v>
      </c>
      <c r="F310" s="59">
        <v>1.6</v>
      </c>
      <c r="G310" s="57">
        <v>38</v>
      </c>
      <c r="H310" s="57"/>
      <c r="I310" s="57"/>
      <c r="J310" s="57">
        <f>Table5[[#This Row],[العدد]]*Table5[[#This Row],[الفئة]]</f>
        <v>80</v>
      </c>
      <c r="K31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10" s="57"/>
      <c r="M310" s="57">
        <f>Table5[[#This Row],[الاجمالي]]-Table5[[#This Row],[المبلغ المدفوع]]</f>
        <v>3800</v>
      </c>
      <c r="N310" s="60"/>
    </row>
    <row r="311" spans="1:14" hidden="1" x14ac:dyDescent="0.3">
      <c r="A311" s="52">
        <f t="shared" si="2"/>
        <v>308</v>
      </c>
      <c r="B311" s="55" t="s">
        <v>106</v>
      </c>
      <c r="C311" s="56">
        <v>45341</v>
      </c>
      <c r="D311" s="55">
        <v>304</v>
      </c>
      <c r="E311" s="57">
        <v>250</v>
      </c>
      <c r="F311" s="59">
        <v>0.8</v>
      </c>
      <c r="G311" s="57">
        <v>38</v>
      </c>
      <c r="H311" s="57"/>
      <c r="I311" s="57"/>
      <c r="J311" s="57">
        <f>Table5[[#This Row],[العدد]]*Table5[[#This Row],[الفئة]]</f>
        <v>200</v>
      </c>
      <c r="K31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9500</v>
      </c>
      <c r="L311" s="57"/>
      <c r="M311" s="57">
        <f>Table5[[#This Row],[الاجمالي]]-Table5[[#This Row],[المبلغ المدفوع]]</f>
        <v>9500</v>
      </c>
      <c r="N311" s="60"/>
    </row>
    <row r="312" spans="1:14" hidden="1" x14ac:dyDescent="0.3">
      <c r="A312" s="52">
        <f t="shared" si="2"/>
        <v>309</v>
      </c>
      <c r="B312" s="55"/>
      <c r="C312" s="56"/>
      <c r="D312" s="55"/>
      <c r="E312" s="57"/>
      <c r="F312" s="59"/>
      <c r="G312" s="57"/>
      <c r="H312" s="57"/>
      <c r="I312" s="57"/>
      <c r="J312" s="57">
        <f>Table5[[#This Row],[العدد]]*Table5[[#This Row],[الفئة]]</f>
        <v>0</v>
      </c>
      <c r="K31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12" s="57"/>
      <c r="M312" s="57">
        <f>Table5[[#This Row],[الاجمالي]]-Table5[[#This Row],[المبلغ المدفوع]]</f>
        <v>0</v>
      </c>
      <c r="N312" s="60"/>
    </row>
    <row r="313" spans="1:14" hidden="1" x14ac:dyDescent="0.3">
      <c r="A313" s="52">
        <f t="shared" si="0"/>
        <v>310</v>
      </c>
      <c r="B313" s="55" t="s">
        <v>107</v>
      </c>
      <c r="C313" s="56">
        <v>45341</v>
      </c>
      <c r="D313" s="55">
        <v>305</v>
      </c>
      <c r="E313" s="57">
        <v>200</v>
      </c>
      <c r="F313" s="59">
        <v>5</v>
      </c>
      <c r="G313" s="57">
        <v>39</v>
      </c>
      <c r="H313" s="57"/>
      <c r="I313" s="57"/>
      <c r="J313" s="57">
        <f>Table5[[#This Row],[العدد]]*Table5[[#This Row],[الفئة]]</f>
        <v>1000</v>
      </c>
      <c r="K31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39000</v>
      </c>
      <c r="L313" s="57">
        <f>Table5[[#This Row],[الاجمالي]]</f>
        <v>39000</v>
      </c>
      <c r="M313" s="57">
        <f>Table5[[#This Row],[الاجمالي]]-Table5[[#This Row],[المبلغ المدفوع]]</f>
        <v>0</v>
      </c>
      <c r="N313" s="60"/>
    </row>
    <row r="314" spans="1:14" hidden="1" x14ac:dyDescent="0.3">
      <c r="A314" s="52">
        <f t="shared" si="0"/>
        <v>311</v>
      </c>
      <c r="B314" s="55"/>
      <c r="C314" s="56"/>
      <c r="D314" s="55"/>
      <c r="E314" s="57"/>
      <c r="F314" s="59"/>
      <c r="G314" s="57"/>
      <c r="H314" s="57"/>
      <c r="I314" s="57"/>
      <c r="J314" s="57">
        <f>Table5[[#This Row],[العدد]]*Table5[[#This Row],[الفئة]]</f>
        <v>0</v>
      </c>
      <c r="K31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14" s="57"/>
      <c r="M314" s="57">
        <f>Table5[[#This Row],[الاجمالي]]-Table5[[#This Row],[المبلغ المدفوع]]</f>
        <v>0</v>
      </c>
      <c r="N314" s="60"/>
    </row>
    <row r="315" spans="1:14" hidden="1" x14ac:dyDescent="0.3">
      <c r="A315" s="52">
        <f t="shared" si="0"/>
        <v>312</v>
      </c>
      <c r="B315" s="55" t="s">
        <v>107</v>
      </c>
      <c r="C315" s="56">
        <v>45342</v>
      </c>
      <c r="D315" s="55">
        <v>306</v>
      </c>
      <c r="E315" s="57">
        <v>100</v>
      </c>
      <c r="F315" s="59">
        <v>5</v>
      </c>
      <c r="G315" s="57">
        <v>39</v>
      </c>
      <c r="H315" s="57"/>
      <c r="I315" s="57"/>
      <c r="J315" s="57">
        <f>Table5[[#This Row],[العدد]]*Table5[[#This Row],[الفئة]]</f>
        <v>500</v>
      </c>
      <c r="K31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19500</v>
      </c>
      <c r="L315" s="57"/>
      <c r="M315" s="57">
        <f>Table5[[#This Row],[الاجمالي]]-Table5[[#This Row],[المبلغ المدفوع]]</f>
        <v>19500</v>
      </c>
      <c r="N315" s="60"/>
    </row>
    <row r="316" spans="1:14" hidden="1" x14ac:dyDescent="0.3">
      <c r="A316" s="52">
        <f t="shared" si="0"/>
        <v>313</v>
      </c>
      <c r="B316" s="55"/>
      <c r="C316" s="56"/>
      <c r="D316" s="55"/>
      <c r="E316" s="57"/>
      <c r="F316" s="59"/>
      <c r="G316" s="57"/>
      <c r="H316" s="57"/>
      <c r="I316" s="57"/>
      <c r="J316" s="57">
        <f>Table5[[#This Row],[العدد]]*Table5[[#This Row],[الفئة]]</f>
        <v>0</v>
      </c>
      <c r="K31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16" s="57"/>
      <c r="M316" s="57">
        <f>Table5[[#This Row],[الاجمالي]]-Table5[[#This Row],[المبلغ المدفوع]]</f>
        <v>0</v>
      </c>
      <c r="N316" s="60"/>
    </row>
    <row r="317" spans="1:14" hidden="1" x14ac:dyDescent="0.3">
      <c r="A317" s="52">
        <f t="shared" si="0"/>
        <v>314</v>
      </c>
      <c r="B317" s="55" t="s">
        <v>108</v>
      </c>
      <c r="C317" s="56">
        <v>45343</v>
      </c>
      <c r="D317" s="55">
        <v>307</v>
      </c>
      <c r="E317" s="57">
        <v>50</v>
      </c>
      <c r="F317" s="59">
        <v>5</v>
      </c>
      <c r="G317" s="57">
        <v>37</v>
      </c>
      <c r="H317" s="57"/>
      <c r="I317" s="57"/>
      <c r="J317" s="57">
        <f>Table5[[#This Row],[العدد]]*Table5[[#This Row],[الفئة]]</f>
        <v>250</v>
      </c>
      <c r="K317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9250</v>
      </c>
      <c r="L317" s="57"/>
      <c r="M317" s="57">
        <f>Table5[[#This Row],[الاجمالي]]-Table5[[#This Row],[المبلغ المدفوع]]</f>
        <v>9250</v>
      </c>
      <c r="N317" s="60"/>
    </row>
    <row r="318" spans="1:14" hidden="1" x14ac:dyDescent="0.3">
      <c r="A318" s="52">
        <f t="shared" si="0"/>
        <v>315</v>
      </c>
      <c r="B318" s="55" t="s">
        <v>108</v>
      </c>
      <c r="C318" s="56">
        <v>45343</v>
      </c>
      <c r="D318" s="55">
        <v>307</v>
      </c>
      <c r="E318" s="57">
        <v>25</v>
      </c>
      <c r="F318" s="59">
        <v>1</v>
      </c>
      <c r="G318" s="57">
        <v>29</v>
      </c>
      <c r="H318" s="57"/>
      <c r="I318" s="57"/>
      <c r="J318" s="57">
        <f>Table5[[#This Row],[العدد]]*Table5[[#This Row],[الفئة]]</f>
        <v>25</v>
      </c>
      <c r="K318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725</v>
      </c>
      <c r="L318" s="57"/>
      <c r="M318" s="57">
        <f>Table5[[#This Row],[الاجمالي]]-Table5[[#This Row],[المبلغ المدفوع]]</f>
        <v>725</v>
      </c>
      <c r="N318" s="60" t="s">
        <v>68</v>
      </c>
    </row>
    <row r="319" spans="1:14" hidden="1" x14ac:dyDescent="0.3">
      <c r="A319" s="52">
        <f t="shared" si="0"/>
        <v>316</v>
      </c>
      <c r="B319" s="55"/>
      <c r="C319" s="56"/>
      <c r="D319" s="55"/>
      <c r="E319" s="58"/>
      <c r="F319" s="59"/>
      <c r="G319" s="57"/>
      <c r="H319" s="57"/>
      <c r="I319" s="57"/>
      <c r="J319" s="57">
        <f>Table5[[#This Row],[العدد]]*Table5[[#This Row],[الفئة]]</f>
        <v>0</v>
      </c>
      <c r="K319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19" s="57"/>
      <c r="M319" s="57">
        <f>Table5[[#This Row],[الاجمالي]]-Table5[[#This Row],[المبلغ المدفوع]]</f>
        <v>0</v>
      </c>
      <c r="N319" s="60"/>
    </row>
    <row r="320" spans="1:14" hidden="1" x14ac:dyDescent="0.3">
      <c r="A320" s="52">
        <f t="shared" si="0"/>
        <v>317</v>
      </c>
      <c r="B320" s="55" t="s">
        <v>109</v>
      </c>
      <c r="C320" s="56">
        <v>45343</v>
      </c>
      <c r="D320" s="55">
        <v>308</v>
      </c>
      <c r="E320" s="57">
        <v>200</v>
      </c>
      <c r="F320" s="59">
        <v>5</v>
      </c>
      <c r="G320" s="57">
        <v>38</v>
      </c>
      <c r="H320" s="57"/>
      <c r="I320" s="57"/>
      <c r="J320" s="57">
        <f>Table5[[#This Row],[العدد]]*Table5[[#This Row],[الفئة]]</f>
        <v>1000</v>
      </c>
      <c r="K320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38000</v>
      </c>
      <c r="L320" s="57"/>
      <c r="M320" s="57">
        <f>Table5[[#This Row],[الاجمالي]]-Table5[[#This Row],[المبلغ المدفوع]]</f>
        <v>38000</v>
      </c>
      <c r="N320" s="60"/>
    </row>
    <row r="321" spans="1:14" hidden="1" x14ac:dyDescent="0.3">
      <c r="A321" s="52">
        <f t="shared" si="0"/>
        <v>318</v>
      </c>
      <c r="B321" s="55"/>
      <c r="C321" s="56"/>
      <c r="D321" s="55"/>
      <c r="E321" s="57"/>
      <c r="F321" s="59"/>
      <c r="G321" s="57"/>
      <c r="H321" s="57"/>
      <c r="I321" s="57"/>
      <c r="J321" s="57">
        <f>Table5[[#This Row],[العدد]]*Table5[[#This Row],[الفئة]]</f>
        <v>0</v>
      </c>
      <c r="K321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21" s="57"/>
      <c r="M321" s="57">
        <f>Table5[[#This Row],[الاجمالي]]-Table5[[#This Row],[المبلغ المدفوع]]</f>
        <v>0</v>
      </c>
      <c r="N321" s="60"/>
    </row>
    <row r="322" spans="1:14" hidden="1" x14ac:dyDescent="0.3">
      <c r="A322" s="52">
        <f t="shared" si="0"/>
        <v>319</v>
      </c>
      <c r="B322" s="55" t="s">
        <v>110</v>
      </c>
      <c r="C322" s="56">
        <v>45343</v>
      </c>
      <c r="D322" s="55">
        <v>309</v>
      </c>
      <c r="E322" s="57">
        <v>30</v>
      </c>
      <c r="F322" s="59">
        <v>5</v>
      </c>
      <c r="G322" s="57">
        <v>40</v>
      </c>
      <c r="H322" s="57"/>
      <c r="I322" s="57"/>
      <c r="J322" s="57">
        <f>Table5[[#This Row],[العدد]]*Table5[[#This Row],[الفئة]]</f>
        <v>150</v>
      </c>
      <c r="K322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6000</v>
      </c>
      <c r="L322" s="57">
        <v>4000</v>
      </c>
      <c r="M322" s="57">
        <f>Table5[[#This Row],[الاجمالي]]-Table5[[#This Row],[المبلغ المدفوع]]</f>
        <v>2000</v>
      </c>
      <c r="N322" s="60"/>
    </row>
    <row r="323" spans="1:14" hidden="1" x14ac:dyDescent="0.3">
      <c r="A323" s="52">
        <f t="shared" si="0"/>
        <v>320</v>
      </c>
      <c r="B323" s="55"/>
      <c r="C323" s="56"/>
      <c r="D323" s="55"/>
      <c r="E323" s="57"/>
      <c r="F323" s="59"/>
      <c r="G323" s="57"/>
      <c r="H323" s="57"/>
      <c r="I323" s="57"/>
      <c r="J323" s="57">
        <f>Table5[[#This Row],[العدد]]*Table5[[#This Row],[الفئة]]</f>
        <v>0</v>
      </c>
      <c r="K323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23" s="57"/>
      <c r="M323" s="57">
        <f>Table5[[#This Row],[الاجمالي]]-Table5[[#This Row],[المبلغ المدفوع]]</f>
        <v>0</v>
      </c>
      <c r="N323" s="60"/>
    </row>
    <row r="324" spans="1:14" hidden="1" x14ac:dyDescent="0.3">
      <c r="A324" s="52">
        <f t="shared" si="0"/>
        <v>321</v>
      </c>
      <c r="B324" s="63" t="s">
        <v>69</v>
      </c>
      <c r="C324" s="56">
        <v>45343</v>
      </c>
      <c r="D324" s="55">
        <v>310</v>
      </c>
      <c r="E324" s="57"/>
      <c r="F324" s="59"/>
      <c r="G324" s="57"/>
      <c r="H324" s="57"/>
      <c r="I324" s="57"/>
      <c r="J324" s="57">
        <f>Table5[[#This Row],[العدد]]*Table5[[#This Row],[الفئة]]</f>
        <v>0</v>
      </c>
      <c r="K324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24" s="57"/>
      <c r="M324" s="57">
        <f>Table5[[#This Row],[الاجمالي]]-Table5[[#This Row],[المبلغ المدفوع]]</f>
        <v>0</v>
      </c>
      <c r="N324" s="60"/>
    </row>
    <row r="325" spans="1:14" hidden="1" x14ac:dyDescent="0.3">
      <c r="A325" s="52">
        <f t="shared" si="0"/>
        <v>322</v>
      </c>
      <c r="B325" s="55"/>
      <c r="C325" s="56"/>
      <c r="D325" s="55"/>
      <c r="E325" s="57"/>
      <c r="F325" s="59"/>
      <c r="G325" s="57"/>
      <c r="H325" s="57"/>
      <c r="I325" s="57"/>
      <c r="J325" s="57">
        <f>Table5[[#This Row],[العدد]]*Table5[[#This Row],[الفئة]]</f>
        <v>0</v>
      </c>
      <c r="K325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25" s="57"/>
      <c r="M325" s="57">
        <f>Table5[[#This Row],[الاجمالي]]-Table5[[#This Row],[المبلغ المدفوع]]</f>
        <v>0</v>
      </c>
      <c r="N325" s="60"/>
    </row>
    <row r="326" spans="1:14" ht="7.5" hidden="1" customHeight="1" x14ac:dyDescent="0.3">
      <c r="A326" s="52">
        <f t="shared" si="0"/>
        <v>323</v>
      </c>
      <c r="B326" s="55" t="s">
        <v>111</v>
      </c>
      <c r="C326" s="56">
        <v>45343</v>
      </c>
      <c r="D326" s="55">
        <v>311</v>
      </c>
      <c r="E326" s="57">
        <v>400</v>
      </c>
      <c r="F326" s="59">
        <v>1.6</v>
      </c>
      <c r="G326" s="57">
        <v>37.5</v>
      </c>
      <c r="H326" s="57"/>
      <c r="I326" s="57"/>
      <c r="J326" s="57">
        <f>Table5[[#This Row],[العدد]]*Table5[[#This Row],[الفئة]]</f>
        <v>640</v>
      </c>
      <c r="K326" s="5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30000</v>
      </c>
      <c r="L326" s="57"/>
      <c r="M326" s="57">
        <f>Table5[[#This Row],[الاجمالي]]-Table5[[#This Row],[المبلغ المدفوع]]</f>
        <v>30000</v>
      </c>
      <c r="N326" s="60"/>
    </row>
    <row r="327" spans="1:14" hidden="1" x14ac:dyDescent="0.3">
      <c r="A327" s="52">
        <f t="shared" ref="A327:A392" si="3">A326+1</f>
        <v>324</v>
      </c>
      <c r="B327" s="74"/>
      <c r="C327" s="75"/>
      <c r="D327" s="74"/>
      <c r="E327" s="60"/>
      <c r="F327" s="76"/>
      <c r="G327" s="60"/>
      <c r="H327" s="60"/>
      <c r="I327" s="60"/>
      <c r="J327" s="60">
        <f>Table5[[#This Row],[العدد]]*Table5[[#This Row],[الفئة]]</f>
        <v>0</v>
      </c>
      <c r="K32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27" s="60"/>
      <c r="M327" s="60">
        <f>Table5[[#This Row],[الاجمالي]]-Table5[[#This Row],[المبلغ المدفوع]]</f>
        <v>0</v>
      </c>
      <c r="N327" s="60"/>
    </row>
    <row r="328" spans="1:14" hidden="1" x14ac:dyDescent="0.3">
      <c r="A328" s="52">
        <f t="shared" si="3"/>
        <v>325</v>
      </c>
      <c r="B328" s="74" t="s">
        <v>146</v>
      </c>
      <c r="C328" s="75">
        <v>45343</v>
      </c>
      <c r="D328" s="74">
        <v>312</v>
      </c>
      <c r="E328" s="60">
        <v>800</v>
      </c>
      <c r="F328" s="76">
        <v>0.8</v>
      </c>
      <c r="G328" s="60">
        <v>40</v>
      </c>
      <c r="H328" s="60"/>
      <c r="I328" s="60"/>
      <c r="J328" s="60">
        <f>Table5[[#This Row],[العدد]]*Table5[[#This Row],[الفئة]]</f>
        <v>640</v>
      </c>
      <c r="K32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32000</v>
      </c>
      <c r="L328" s="60">
        <v>48000</v>
      </c>
      <c r="M328" s="60">
        <f>Table5[[#This Row],[الاجمالي]]-Table5[[#This Row],[المبلغ المدفوع]]</f>
        <v>-16000</v>
      </c>
      <c r="N328" s="60"/>
    </row>
    <row r="329" spans="1:14" hidden="1" x14ac:dyDescent="0.3">
      <c r="A329" s="52">
        <f t="shared" si="3"/>
        <v>326</v>
      </c>
      <c r="B329" s="74" t="s">
        <v>146</v>
      </c>
      <c r="C329" s="75">
        <v>45343</v>
      </c>
      <c r="D329" s="74">
        <v>312</v>
      </c>
      <c r="E329" s="60">
        <v>100</v>
      </c>
      <c r="F329" s="76">
        <v>1.6</v>
      </c>
      <c r="G329" s="60">
        <v>40</v>
      </c>
      <c r="H329" s="60"/>
      <c r="I329" s="60"/>
      <c r="J329" s="60">
        <f>Table5[[#This Row],[العدد]]*Table5[[#This Row],[الفئة]]</f>
        <v>160</v>
      </c>
      <c r="K32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8000</v>
      </c>
      <c r="L329" s="60"/>
      <c r="M329" s="60">
        <f>Table5[[#This Row],[الاجمالي]]-Table5[[#This Row],[المبلغ المدفوع]]</f>
        <v>8000</v>
      </c>
      <c r="N329" s="60"/>
    </row>
    <row r="330" spans="1:14" hidden="1" x14ac:dyDescent="0.3">
      <c r="A330" s="52">
        <f t="shared" si="3"/>
        <v>327</v>
      </c>
      <c r="B330" s="74"/>
      <c r="C330" s="75"/>
      <c r="D330" s="74"/>
      <c r="E330" s="60"/>
      <c r="F330" s="76"/>
      <c r="G330" s="60"/>
      <c r="H330" s="60"/>
      <c r="I330" s="60"/>
      <c r="J330" s="60">
        <f>Table5[[#This Row],[العدد]]*Table5[[#This Row],[الفئة]]</f>
        <v>0</v>
      </c>
      <c r="K33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30" s="60"/>
      <c r="M330" s="60">
        <f>Table5[[#This Row],[الاجمالي]]-Table5[[#This Row],[المبلغ المدفوع]]</f>
        <v>0</v>
      </c>
      <c r="N330" s="60"/>
    </row>
    <row r="331" spans="1:14" hidden="1" x14ac:dyDescent="0.3">
      <c r="A331" s="52">
        <f t="shared" si="3"/>
        <v>328</v>
      </c>
      <c r="B331" s="74" t="s">
        <v>112</v>
      </c>
      <c r="C331" s="75">
        <v>45343</v>
      </c>
      <c r="D331" s="74">
        <v>313</v>
      </c>
      <c r="E331" s="60"/>
      <c r="F331" s="76"/>
      <c r="G331" s="60"/>
      <c r="H331" s="60"/>
      <c r="I331" s="60"/>
      <c r="J331" s="60">
        <f>Table5[[#This Row],[العدد]]*Table5[[#This Row],[الفئة]]</f>
        <v>0</v>
      </c>
      <c r="K33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31" s="60"/>
      <c r="M331" s="60">
        <f>Table5[[#This Row],[الاجمالي]]-Table5[[#This Row],[المبلغ المدفوع]]</f>
        <v>0</v>
      </c>
      <c r="N331" s="60" t="s">
        <v>140</v>
      </c>
    </row>
    <row r="332" spans="1:14" hidden="1" x14ac:dyDescent="0.3">
      <c r="A332" s="52">
        <f t="shared" si="3"/>
        <v>329</v>
      </c>
      <c r="B332" s="74"/>
      <c r="C332" s="75"/>
      <c r="D332" s="74"/>
      <c r="E332" s="60"/>
      <c r="F332" s="76"/>
      <c r="G332" s="60"/>
      <c r="H332" s="60"/>
      <c r="I332" s="60"/>
      <c r="J332" s="60">
        <f>Table5[[#This Row],[العدد]]*Table5[[#This Row],[الفئة]]</f>
        <v>0</v>
      </c>
      <c r="K33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32" s="60"/>
      <c r="M332" s="60">
        <f>Table5[[#This Row],[الاجمالي]]-Table5[[#This Row],[المبلغ المدفوع]]</f>
        <v>0</v>
      </c>
      <c r="N332" s="60"/>
    </row>
    <row r="333" spans="1:14" hidden="1" x14ac:dyDescent="0.3">
      <c r="A333" s="52">
        <f t="shared" si="3"/>
        <v>330</v>
      </c>
      <c r="B333" s="74" t="s">
        <v>113</v>
      </c>
      <c r="C333" s="75">
        <v>45343</v>
      </c>
      <c r="D333" s="74">
        <v>314</v>
      </c>
      <c r="E333" s="60">
        <v>60</v>
      </c>
      <c r="F333" s="76">
        <v>5</v>
      </c>
      <c r="G333" s="60">
        <v>40</v>
      </c>
      <c r="H333" s="60"/>
      <c r="I333" s="60"/>
      <c r="J333" s="60">
        <f>Table5[[#This Row],[العدد]]*Table5[[#This Row],[الفئة]]</f>
        <v>300</v>
      </c>
      <c r="K33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12000</v>
      </c>
      <c r="L333" s="60">
        <f>Table5[[#This Row],[الاجمالي]]</f>
        <v>12000</v>
      </c>
      <c r="M333" s="60">
        <f>Table5[[#This Row],[الاجمالي]]-Table5[[#This Row],[المبلغ المدفوع]]</f>
        <v>0</v>
      </c>
      <c r="N333" s="60"/>
    </row>
    <row r="334" spans="1:14" hidden="1" x14ac:dyDescent="0.3">
      <c r="A334" s="52">
        <f t="shared" si="3"/>
        <v>331</v>
      </c>
      <c r="B334" s="74"/>
      <c r="C334" s="75"/>
      <c r="D334" s="74"/>
      <c r="E334" s="60"/>
      <c r="F334" s="76"/>
      <c r="G334" s="60"/>
      <c r="H334" s="60"/>
      <c r="I334" s="60"/>
      <c r="J334" s="60">
        <f>Table5[[#This Row],[العدد]]*Table5[[#This Row],[الفئة]]</f>
        <v>0</v>
      </c>
      <c r="K33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34" s="60"/>
      <c r="M334" s="60">
        <f>Table5[[#This Row],[الاجمالي]]-Table5[[#This Row],[المبلغ المدفوع]]</f>
        <v>0</v>
      </c>
      <c r="N334" s="60"/>
    </row>
    <row r="335" spans="1:14" hidden="1" x14ac:dyDescent="0.3">
      <c r="A335" s="52">
        <f t="shared" si="3"/>
        <v>332</v>
      </c>
      <c r="B335" s="74" t="s">
        <v>114</v>
      </c>
      <c r="C335" s="75">
        <v>45345</v>
      </c>
      <c r="D335" s="74">
        <v>315</v>
      </c>
      <c r="E335" s="60">
        <v>80</v>
      </c>
      <c r="F335" s="76">
        <v>5</v>
      </c>
      <c r="G335" s="60">
        <v>40</v>
      </c>
      <c r="H335" s="60"/>
      <c r="I335" s="60"/>
      <c r="J335" s="60">
        <f>Table5[[#This Row],[العدد]]*Table5[[#This Row],[الفئة]]</f>
        <v>400</v>
      </c>
      <c r="K33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16000</v>
      </c>
      <c r="L335" s="60">
        <f>Table5[[#This Row],[الاجمالي]]</f>
        <v>16000</v>
      </c>
      <c r="M335" s="60">
        <f>Table5[[#This Row],[الاجمالي]]-Table5[[#This Row],[المبلغ المدفوع]]</f>
        <v>0</v>
      </c>
      <c r="N335" s="60"/>
    </row>
    <row r="336" spans="1:14" hidden="1" x14ac:dyDescent="0.3">
      <c r="A336" s="52">
        <f t="shared" si="3"/>
        <v>333</v>
      </c>
      <c r="B336" s="74"/>
      <c r="C336" s="75"/>
      <c r="D336" s="74"/>
      <c r="E336" s="60"/>
      <c r="F336" s="76"/>
      <c r="G336" s="60"/>
      <c r="H336" s="60"/>
      <c r="I336" s="60"/>
      <c r="J336" s="60">
        <f>Table5[[#This Row],[العدد]]*Table5[[#This Row],[الفئة]]</f>
        <v>0</v>
      </c>
      <c r="K33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36" s="60"/>
      <c r="M336" s="60">
        <f>Table5[[#This Row],[الاجمالي]]-Table5[[#This Row],[المبلغ المدفوع]]</f>
        <v>0</v>
      </c>
      <c r="N336" s="60"/>
    </row>
    <row r="337" spans="1:14" hidden="1" x14ac:dyDescent="0.3">
      <c r="A337" s="52">
        <f t="shared" si="3"/>
        <v>334</v>
      </c>
      <c r="B337" s="74" t="s">
        <v>19</v>
      </c>
      <c r="C337" s="75">
        <v>45345</v>
      </c>
      <c r="D337" s="74">
        <v>316</v>
      </c>
      <c r="E337" s="60">
        <v>200</v>
      </c>
      <c r="F337" s="76">
        <v>5</v>
      </c>
      <c r="G337" s="60">
        <v>40</v>
      </c>
      <c r="H337" s="60"/>
      <c r="I337" s="60"/>
      <c r="J337" s="60">
        <f>Table5[[#This Row],[العدد]]*Table5[[#This Row],[الفئة]]</f>
        <v>1000</v>
      </c>
      <c r="K33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40000</v>
      </c>
      <c r="L337" s="60"/>
      <c r="M337" s="60">
        <f>Table5[[#This Row],[الاجمالي]]-Table5[[#This Row],[المبلغ المدفوع]]</f>
        <v>40000</v>
      </c>
      <c r="N337" s="60"/>
    </row>
    <row r="338" spans="1:14" hidden="1" x14ac:dyDescent="0.3">
      <c r="A338" s="52">
        <f t="shared" si="3"/>
        <v>335</v>
      </c>
      <c r="B338" s="74" t="s">
        <v>19</v>
      </c>
      <c r="C338" s="75">
        <v>45345</v>
      </c>
      <c r="D338" s="74">
        <v>316</v>
      </c>
      <c r="E338" s="60">
        <v>100</v>
      </c>
      <c r="F338" s="76">
        <v>1.6</v>
      </c>
      <c r="G338" s="60">
        <v>38</v>
      </c>
      <c r="H338" s="60"/>
      <c r="I338" s="60"/>
      <c r="J338" s="60">
        <f>Table5[[#This Row],[العدد]]*Table5[[#This Row],[الفئة]]</f>
        <v>160</v>
      </c>
      <c r="K33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338" s="60"/>
      <c r="M338" s="60">
        <f>Table5[[#This Row],[الاجمالي]]-Table5[[#This Row],[المبلغ المدفوع]]</f>
        <v>7600</v>
      </c>
      <c r="N338" s="60"/>
    </row>
    <row r="339" spans="1:14" hidden="1" x14ac:dyDescent="0.3">
      <c r="A339" s="52">
        <f t="shared" si="3"/>
        <v>336</v>
      </c>
      <c r="B339" s="74" t="s">
        <v>19</v>
      </c>
      <c r="C339" s="75">
        <v>45345</v>
      </c>
      <c r="D339" s="74">
        <v>316</v>
      </c>
      <c r="E339" s="60">
        <v>800</v>
      </c>
      <c r="F339" s="76">
        <v>0.8</v>
      </c>
      <c r="G339" s="60">
        <v>38</v>
      </c>
      <c r="H339" s="60"/>
      <c r="I339" s="60"/>
      <c r="J339" s="60">
        <f>Table5[[#This Row],[العدد]]*Table5[[#This Row],[الفئة]]</f>
        <v>640</v>
      </c>
      <c r="K33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30400</v>
      </c>
      <c r="L339" s="60"/>
      <c r="M339" s="60">
        <f>Table5[[#This Row],[الاجمالي]]-Table5[[#This Row],[المبلغ المدفوع]]</f>
        <v>30400</v>
      </c>
      <c r="N339" s="60"/>
    </row>
    <row r="340" spans="1:14" hidden="1" x14ac:dyDescent="0.3">
      <c r="A340" s="52">
        <f t="shared" si="3"/>
        <v>337</v>
      </c>
      <c r="B340" s="74"/>
      <c r="C340" s="75"/>
      <c r="D340" s="74"/>
      <c r="E340" s="60"/>
      <c r="F340" s="76"/>
      <c r="G340" s="60"/>
      <c r="H340" s="60"/>
      <c r="I340" s="60"/>
      <c r="J340" s="60">
        <f>Table5[[#This Row],[العدد]]*Table5[[#This Row],[الفئة]]</f>
        <v>0</v>
      </c>
      <c r="K34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40" s="60"/>
      <c r="M340" s="60">
        <f>Table5[[#This Row],[الاجمالي]]-Table5[[#This Row],[المبلغ المدفوع]]</f>
        <v>0</v>
      </c>
      <c r="N340" s="60"/>
    </row>
    <row r="341" spans="1:14" hidden="1" x14ac:dyDescent="0.3">
      <c r="A341" s="52">
        <f t="shared" si="3"/>
        <v>338</v>
      </c>
      <c r="B341" s="74" t="s">
        <v>87</v>
      </c>
      <c r="C341" s="75">
        <v>45345</v>
      </c>
      <c r="D341" s="74">
        <v>317</v>
      </c>
      <c r="E341" s="60">
        <v>100</v>
      </c>
      <c r="F341" s="76">
        <v>5</v>
      </c>
      <c r="G341" s="60">
        <v>40</v>
      </c>
      <c r="H341" s="60"/>
      <c r="I341" s="60"/>
      <c r="J341" s="60">
        <f>Table5[[#This Row],[العدد]]*Table5[[#This Row],[الفئة]]</f>
        <v>500</v>
      </c>
      <c r="K34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20000</v>
      </c>
      <c r="L341" s="60">
        <f>Table5[[#This Row],[الاجمالي]]</f>
        <v>20000</v>
      </c>
      <c r="M341" s="60">
        <f>Table5[[#This Row],[الاجمالي]]-Table5[[#This Row],[المبلغ المدفوع]]</f>
        <v>0</v>
      </c>
      <c r="N341" s="60"/>
    </row>
    <row r="342" spans="1:14" hidden="1" x14ac:dyDescent="0.3">
      <c r="A342" s="52">
        <f t="shared" si="3"/>
        <v>339</v>
      </c>
      <c r="B342" s="74" t="s">
        <v>87</v>
      </c>
      <c r="C342" s="75">
        <v>45345</v>
      </c>
      <c r="D342" s="74">
        <v>317</v>
      </c>
      <c r="E342" s="60">
        <v>100</v>
      </c>
      <c r="F342" s="76">
        <v>1.6</v>
      </c>
      <c r="G342" s="60">
        <v>38</v>
      </c>
      <c r="H342" s="60"/>
      <c r="I342" s="60"/>
      <c r="J342" s="60">
        <f>Table5[[#This Row],[العدد]]*Table5[[#This Row],[الفئة]]</f>
        <v>160</v>
      </c>
      <c r="K34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342" s="60">
        <f>Table5[[#This Row],[الاجمالي]]</f>
        <v>7600</v>
      </c>
      <c r="M342" s="60">
        <f>Table5[[#This Row],[الاجمالي]]-Table5[[#This Row],[المبلغ المدفوع]]</f>
        <v>0</v>
      </c>
      <c r="N342" s="60"/>
    </row>
    <row r="343" spans="1:14" hidden="1" x14ac:dyDescent="0.3">
      <c r="A343" s="52">
        <f t="shared" si="3"/>
        <v>340</v>
      </c>
      <c r="B343" s="74" t="s">
        <v>87</v>
      </c>
      <c r="C343" s="75">
        <v>45345</v>
      </c>
      <c r="D343" s="74">
        <v>317</v>
      </c>
      <c r="E343" s="60">
        <v>100</v>
      </c>
      <c r="F343" s="76">
        <v>0.8</v>
      </c>
      <c r="G343" s="60">
        <v>38</v>
      </c>
      <c r="H343" s="60"/>
      <c r="I343" s="60"/>
      <c r="J343" s="60">
        <f>Table5[[#This Row],[العدد]]*Table5[[#This Row],[الفئة]]</f>
        <v>80</v>
      </c>
      <c r="K34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43" s="60">
        <f>Table5[[#This Row],[الاجمالي]]</f>
        <v>3800</v>
      </c>
      <c r="M343" s="60">
        <f>Table5[[#This Row],[الاجمالي]]-Table5[[#This Row],[المبلغ المدفوع]]</f>
        <v>0</v>
      </c>
      <c r="N343" s="60"/>
    </row>
    <row r="344" spans="1:14" hidden="1" x14ac:dyDescent="0.3">
      <c r="A344" s="52">
        <f t="shared" si="3"/>
        <v>341</v>
      </c>
      <c r="B344" s="74"/>
      <c r="C344" s="75"/>
      <c r="D344" s="74"/>
      <c r="E344" s="60"/>
      <c r="F344" s="76"/>
      <c r="G344" s="60"/>
      <c r="H344" s="60"/>
      <c r="I344" s="60"/>
      <c r="J344" s="60">
        <f>Table5[[#This Row],[العدد]]*Table5[[#This Row],[الفئة]]</f>
        <v>0</v>
      </c>
      <c r="K34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44" s="60"/>
      <c r="M344" s="60">
        <f>Table5[[#This Row],[الاجمالي]]-Table5[[#This Row],[المبلغ المدفوع]]</f>
        <v>0</v>
      </c>
      <c r="N344" s="60"/>
    </row>
    <row r="345" spans="1:14" hidden="1" x14ac:dyDescent="0.3">
      <c r="A345" s="52">
        <f t="shared" si="3"/>
        <v>342</v>
      </c>
      <c r="B345" s="74" t="s">
        <v>48</v>
      </c>
      <c r="C345" s="75">
        <v>45345</v>
      </c>
      <c r="D345" s="74">
        <v>318</v>
      </c>
      <c r="E345" s="60">
        <v>90</v>
      </c>
      <c r="F345" s="76">
        <v>5</v>
      </c>
      <c r="G345" s="60">
        <v>38</v>
      </c>
      <c r="H345" s="60"/>
      <c r="I345" s="60"/>
      <c r="J345" s="60">
        <f>Table5[[#This Row],[العدد]]*Table5[[#This Row],[الفئة]]</f>
        <v>450</v>
      </c>
      <c r="K34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17100</v>
      </c>
      <c r="L345" s="60"/>
      <c r="M345" s="60">
        <f>Table5[[#This Row],[الاجمالي]]-Table5[[#This Row],[المبلغ المدفوع]]</f>
        <v>17100</v>
      </c>
      <c r="N345" s="60"/>
    </row>
    <row r="346" spans="1:14" hidden="1" x14ac:dyDescent="0.3">
      <c r="A346" s="52">
        <f t="shared" si="3"/>
        <v>343</v>
      </c>
      <c r="B346" s="74" t="s">
        <v>48</v>
      </c>
      <c r="C346" s="75">
        <v>45345</v>
      </c>
      <c r="D346" s="74">
        <v>318</v>
      </c>
      <c r="E346" s="60">
        <v>266</v>
      </c>
      <c r="F346" s="76">
        <v>5</v>
      </c>
      <c r="G346" s="60">
        <v>40</v>
      </c>
      <c r="H346" s="60"/>
      <c r="I346" s="60"/>
      <c r="J346" s="60">
        <f>Table5[[#This Row],[العدد]]*Table5[[#This Row],[الفئة]]</f>
        <v>1330</v>
      </c>
      <c r="K34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53200</v>
      </c>
      <c r="L346" s="60"/>
      <c r="M346" s="60">
        <f>Table5[[#This Row],[الاجمالي]]-Table5[[#This Row],[المبلغ المدفوع]]</f>
        <v>53200</v>
      </c>
      <c r="N346" s="60"/>
    </row>
    <row r="347" spans="1:14" hidden="1" x14ac:dyDescent="0.3">
      <c r="A347" s="52">
        <f t="shared" si="3"/>
        <v>344</v>
      </c>
      <c r="B347" s="74"/>
      <c r="C347" s="75"/>
      <c r="D347" s="74"/>
      <c r="E347" s="60"/>
      <c r="F347" s="76"/>
      <c r="G347" s="60"/>
      <c r="H347" s="60"/>
      <c r="I347" s="60"/>
      <c r="J347" s="77">
        <f>Table5[[#This Row],[العدد]]*Table5[[#This Row],[الفئة]]</f>
        <v>0</v>
      </c>
      <c r="K347" s="77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47" s="60"/>
      <c r="M347" s="60">
        <f>Table5[[#This Row],[الاجمالي]]-Table5[[#This Row],[المبلغ المدفوع]]</f>
        <v>0</v>
      </c>
      <c r="N347" s="60"/>
    </row>
    <row r="348" spans="1:14" hidden="1" x14ac:dyDescent="0.3">
      <c r="A348" s="52">
        <f t="shared" si="3"/>
        <v>345</v>
      </c>
      <c r="B348" s="74"/>
      <c r="C348" s="75"/>
      <c r="D348" s="74"/>
      <c r="E348" s="60"/>
      <c r="F348" s="76"/>
      <c r="G348" s="60"/>
      <c r="H348" s="60"/>
      <c r="I348" s="60"/>
      <c r="J348" s="60">
        <f>Table5[[#This Row],[العدد]]*Table5[[#This Row],[الفئة]]</f>
        <v>0</v>
      </c>
      <c r="K34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48" s="60"/>
      <c r="M348" s="60">
        <f>Table5[[#This Row],[الاجمالي]]-Table5[[#This Row],[المبلغ المدفوع]]</f>
        <v>0</v>
      </c>
      <c r="N348" s="60"/>
    </row>
    <row r="349" spans="1:14" hidden="1" x14ac:dyDescent="0.3">
      <c r="A349" s="52">
        <f t="shared" si="3"/>
        <v>346</v>
      </c>
      <c r="B349" s="74" t="s">
        <v>115</v>
      </c>
      <c r="C349" s="75">
        <v>45345</v>
      </c>
      <c r="D349" s="74">
        <v>319</v>
      </c>
      <c r="E349" s="60">
        <v>150</v>
      </c>
      <c r="F349" s="76">
        <v>5</v>
      </c>
      <c r="G349" s="60">
        <v>40</v>
      </c>
      <c r="H349" s="60"/>
      <c r="I349" s="60"/>
      <c r="J349" s="60">
        <f>Table5[[#This Row],[العدد]]*Table5[[#This Row],[الفئة]]</f>
        <v>750</v>
      </c>
      <c r="K34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30000</v>
      </c>
      <c r="L349" s="60"/>
      <c r="M349" s="60">
        <f>Table5[[#This Row],[الاجمالي]]-Table5[[#This Row],[المبلغ المدفوع]]</f>
        <v>30000</v>
      </c>
      <c r="N349" s="60"/>
    </row>
    <row r="350" spans="1:14" hidden="1" x14ac:dyDescent="0.3">
      <c r="A350" s="52">
        <f t="shared" si="3"/>
        <v>347</v>
      </c>
      <c r="B350" s="74" t="s">
        <v>115</v>
      </c>
      <c r="C350" s="75">
        <v>45345</v>
      </c>
      <c r="D350" s="74">
        <v>319</v>
      </c>
      <c r="E350" s="60">
        <v>100</v>
      </c>
      <c r="F350" s="76">
        <v>1.6</v>
      </c>
      <c r="G350" s="60">
        <v>38</v>
      </c>
      <c r="H350" s="60"/>
      <c r="I350" s="60"/>
      <c r="J350" s="60">
        <f>Table5[[#This Row],[العدد]]*Table5[[#This Row],[الفئة]]</f>
        <v>160</v>
      </c>
      <c r="K35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350" s="60"/>
      <c r="M350" s="60">
        <f>Table5[[#This Row],[الاجمالي]]-Table5[[#This Row],[المبلغ المدفوع]]</f>
        <v>7600</v>
      </c>
      <c r="N350" s="60"/>
    </row>
    <row r="351" spans="1:14" hidden="1" x14ac:dyDescent="0.3">
      <c r="A351" s="52">
        <f t="shared" si="3"/>
        <v>348</v>
      </c>
      <c r="B351" s="74" t="s">
        <v>115</v>
      </c>
      <c r="C351" s="75">
        <v>45345</v>
      </c>
      <c r="D351" s="74">
        <v>319</v>
      </c>
      <c r="E351" s="60">
        <v>100</v>
      </c>
      <c r="F351" s="76">
        <v>0.8</v>
      </c>
      <c r="G351" s="60">
        <v>38</v>
      </c>
      <c r="H351" s="60"/>
      <c r="I351" s="60"/>
      <c r="J351" s="60">
        <f>Table5[[#This Row],[العدد]]*Table5[[#This Row],[الفئة]]</f>
        <v>80</v>
      </c>
      <c r="K35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51" s="60"/>
      <c r="M351" s="60">
        <f>Table5[[#This Row],[الاجمالي]]-Table5[[#This Row],[المبلغ المدفوع]]</f>
        <v>3800</v>
      </c>
      <c r="N351" s="60"/>
    </row>
    <row r="352" spans="1:14" hidden="1" x14ac:dyDescent="0.3">
      <c r="A352" s="52">
        <f t="shared" si="3"/>
        <v>349</v>
      </c>
      <c r="B352" s="74"/>
      <c r="C352" s="75"/>
      <c r="D352" s="74"/>
      <c r="E352" s="60"/>
      <c r="F352" s="76"/>
      <c r="G352" s="60"/>
      <c r="H352" s="60"/>
      <c r="I352" s="60"/>
      <c r="J352" s="60">
        <f>Table5[[#This Row],[العدد]]*Table5[[#This Row],[الفئة]]</f>
        <v>0</v>
      </c>
      <c r="K35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52" s="60"/>
      <c r="M352" s="60">
        <f>Table5[[#This Row],[الاجمالي]]-Table5[[#This Row],[المبلغ المدفوع]]</f>
        <v>0</v>
      </c>
      <c r="N352" s="60"/>
    </row>
    <row r="353" spans="1:14" hidden="1" x14ac:dyDescent="0.3">
      <c r="A353" s="52">
        <f t="shared" si="3"/>
        <v>350</v>
      </c>
      <c r="B353" s="74" t="s">
        <v>116</v>
      </c>
      <c r="C353" s="75">
        <v>45345</v>
      </c>
      <c r="D353" s="74">
        <v>320</v>
      </c>
      <c r="E353" s="60">
        <v>100</v>
      </c>
      <c r="F353" s="76">
        <v>0.8</v>
      </c>
      <c r="G353" s="60">
        <v>38</v>
      </c>
      <c r="H353" s="60"/>
      <c r="I353" s="60"/>
      <c r="J353" s="60">
        <f>Table5[[#This Row],[العدد]]*Table5[[#This Row],[الفئة]]</f>
        <v>80</v>
      </c>
      <c r="K35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53" s="60"/>
      <c r="M353" s="60">
        <f>Table5[[#This Row],[الاجمالي]]-Table5[[#This Row],[المبلغ المدفوع]]</f>
        <v>3800</v>
      </c>
      <c r="N353" s="60"/>
    </row>
    <row r="354" spans="1:14" hidden="1" x14ac:dyDescent="0.3">
      <c r="A354" s="52">
        <f t="shared" si="3"/>
        <v>351</v>
      </c>
      <c r="B354" s="74"/>
      <c r="C354" s="75"/>
      <c r="D354" s="74"/>
      <c r="E354" s="60"/>
      <c r="F354" s="76"/>
      <c r="G354" s="60"/>
      <c r="H354" s="60"/>
      <c r="I354" s="60"/>
      <c r="J354" s="60">
        <f>Table5[[#This Row],[العدد]]*Table5[[#This Row],[الفئة]]</f>
        <v>0</v>
      </c>
      <c r="K35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54" s="60"/>
      <c r="M354" s="60">
        <f>Table5[[#This Row],[الاجمالي]]-Table5[[#This Row],[المبلغ المدفوع]]</f>
        <v>0</v>
      </c>
      <c r="N354" s="60"/>
    </row>
    <row r="355" spans="1:14" hidden="1" x14ac:dyDescent="0.3">
      <c r="A355" s="52">
        <f t="shared" si="3"/>
        <v>352</v>
      </c>
      <c r="B355" s="74" t="s">
        <v>117</v>
      </c>
      <c r="C355" s="75">
        <v>45345</v>
      </c>
      <c r="D355" s="74">
        <v>321</v>
      </c>
      <c r="E355" s="60">
        <v>150</v>
      </c>
      <c r="F355" s="76">
        <v>5</v>
      </c>
      <c r="G355" s="60">
        <v>40</v>
      </c>
      <c r="H355" s="60"/>
      <c r="I355" s="60"/>
      <c r="J355" s="60">
        <f>Table5[[#This Row],[العدد]]*Table5[[#This Row],[الفئة]]</f>
        <v>750</v>
      </c>
      <c r="K35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30000</v>
      </c>
      <c r="L355" s="60"/>
      <c r="M355" s="60">
        <f>Table5[[#This Row],[الاجمالي]]-Table5[[#This Row],[المبلغ المدفوع]]</f>
        <v>30000</v>
      </c>
      <c r="N355" s="60"/>
    </row>
    <row r="356" spans="1:14" hidden="1" x14ac:dyDescent="0.3">
      <c r="A356" s="52">
        <f t="shared" si="3"/>
        <v>353</v>
      </c>
      <c r="B356" s="74"/>
      <c r="C356" s="75"/>
      <c r="D356" s="74"/>
      <c r="E356" s="60"/>
      <c r="F356" s="76"/>
      <c r="G356" s="60"/>
      <c r="H356" s="60"/>
      <c r="I356" s="60"/>
      <c r="J356" s="60">
        <f>Table5[[#This Row],[العدد]]*Table5[[#This Row],[الفئة]]</f>
        <v>0</v>
      </c>
      <c r="K35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56" s="60"/>
      <c r="M356" s="60">
        <f>Table5[[#This Row],[الاجمالي]]-Table5[[#This Row],[المبلغ المدفوع]]</f>
        <v>0</v>
      </c>
      <c r="N356" s="60"/>
    </row>
    <row r="357" spans="1:14" hidden="1" x14ac:dyDescent="0.3">
      <c r="A357" s="52">
        <f t="shared" si="3"/>
        <v>354</v>
      </c>
      <c r="B357" s="74" t="s">
        <v>118</v>
      </c>
      <c r="C357" s="75">
        <v>45346</v>
      </c>
      <c r="D357" s="74">
        <v>322</v>
      </c>
      <c r="E357" s="60">
        <v>600</v>
      </c>
      <c r="F357" s="76">
        <v>5</v>
      </c>
      <c r="G357" s="60">
        <v>45</v>
      </c>
      <c r="H357" s="60"/>
      <c r="I357" s="60"/>
      <c r="J357" s="60">
        <f>Table5[[#This Row],[العدد]]*Table5[[#This Row],[الفئة]]</f>
        <v>3000</v>
      </c>
      <c r="K35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135000</v>
      </c>
      <c r="L357" s="60">
        <f>Table5[[#This Row],[الاجمالي]]</f>
        <v>135000</v>
      </c>
      <c r="M357" s="60">
        <f>Table5[[#This Row],[الاجمالي]]-Table5[[#This Row],[المبلغ المدفوع]]</f>
        <v>0</v>
      </c>
      <c r="N357" s="60"/>
    </row>
    <row r="358" spans="1:14" hidden="1" x14ac:dyDescent="0.3">
      <c r="A358" s="52">
        <f t="shared" si="3"/>
        <v>355</v>
      </c>
      <c r="B358" s="74"/>
      <c r="C358" s="75"/>
      <c r="D358" s="74"/>
      <c r="E358" s="60"/>
      <c r="F358" s="76"/>
      <c r="G358" s="60"/>
      <c r="H358" s="60"/>
      <c r="I358" s="60"/>
      <c r="J358" s="60">
        <f>Table5[[#This Row],[العدد]]*Table5[[#This Row],[الفئة]]</f>
        <v>0</v>
      </c>
      <c r="K35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58" s="60"/>
      <c r="M358" s="60">
        <f>Table5[[#This Row],[الاجمالي]]-Table5[[#This Row],[المبلغ المدفوع]]</f>
        <v>0</v>
      </c>
      <c r="N358" s="60"/>
    </row>
    <row r="359" spans="1:14" hidden="1" x14ac:dyDescent="0.3">
      <c r="A359" s="52">
        <f t="shared" si="3"/>
        <v>356</v>
      </c>
      <c r="B359" s="74" t="s">
        <v>85</v>
      </c>
      <c r="C359" s="75">
        <v>45346</v>
      </c>
      <c r="D359" s="74">
        <v>323</v>
      </c>
      <c r="E359" s="60">
        <v>368</v>
      </c>
      <c r="F359" s="76">
        <v>5</v>
      </c>
      <c r="G359" s="60">
        <v>39</v>
      </c>
      <c r="H359" s="60"/>
      <c r="I359" s="60"/>
      <c r="J359" s="60">
        <f>Table5[[#This Row],[العدد]]*Table5[[#This Row],[الفئة]]</f>
        <v>1840</v>
      </c>
      <c r="K35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71760</v>
      </c>
      <c r="L359" s="60"/>
      <c r="M359" s="60">
        <f>Table5[[#This Row],[الاجمالي]]-Table5[[#This Row],[المبلغ المدفوع]]</f>
        <v>71760</v>
      </c>
      <c r="N359" s="60"/>
    </row>
    <row r="360" spans="1:14" hidden="1" x14ac:dyDescent="0.3">
      <c r="A360" s="52">
        <f t="shared" si="3"/>
        <v>357</v>
      </c>
      <c r="B360" s="74" t="s">
        <v>85</v>
      </c>
      <c r="C360" s="75">
        <v>45346</v>
      </c>
      <c r="D360" s="74">
        <v>323</v>
      </c>
      <c r="E360" s="60">
        <v>40</v>
      </c>
      <c r="F360" s="76">
        <v>0.8</v>
      </c>
      <c r="G360" s="60">
        <v>38</v>
      </c>
      <c r="H360" s="60"/>
      <c r="I360" s="60"/>
      <c r="J360" s="60">
        <f>Table5[[#This Row],[العدد]]*Table5[[#This Row],[الفئة]]</f>
        <v>32</v>
      </c>
      <c r="K36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360" s="60"/>
      <c r="M360" s="60">
        <f>Table5[[#This Row],[الاجمالي]]-Table5[[#This Row],[المبلغ المدفوع]]</f>
        <v>1520</v>
      </c>
      <c r="N360" s="60"/>
    </row>
    <row r="361" spans="1:14" hidden="1" x14ac:dyDescent="0.3">
      <c r="A361" s="52">
        <f t="shared" si="3"/>
        <v>358</v>
      </c>
      <c r="B361" s="74"/>
      <c r="C361" s="75"/>
      <c r="D361" s="74"/>
      <c r="E361" s="60"/>
      <c r="F361" s="76"/>
      <c r="G361" s="60"/>
      <c r="H361" s="60"/>
      <c r="I361" s="60"/>
      <c r="J361" s="60">
        <f>Table5[[#This Row],[العدد]]*Table5[[#This Row],[الفئة]]</f>
        <v>0</v>
      </c>
      <c r="K36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61" s="60"/>
      <c r="M361" s="60">
        <f>Table5[[#This Row],[الاجمالي]]-Table5[[#This Row],[المبلغ المدفوع]]</f>
        <v>0</v>
      </c>
      <c r="N361" s="60"/>
    </row>
    <row r="362" spans="1:14" hidden="1" x14ac:dyDescent="0.3">
      <c r="A362" s="52">
        <f t="shared" si="3"/>
        <v>359</v>
      </c>
      <c r="B362" s="74" t="s">
        <v>89</v>
      </c>
      <c r="C362" s="75">
        <v>45342</v>
      </c>
      <c r="D362" s="74">
        <v>324</v>
      </c>
      <c r="E362" s="60">
        <v>50</v>
      </c>
      <c r="F362" s="76">
        <v>5</v>
      </c>
      <c r="G362" s="60">
        <v>40</v>
      </c>
      <c r="H362" s="60"/>
      <c r="I362" s="60"/>
      <c r="J362" s="60">
        <f>Table5[[#This Row],[العدد]]*Table5[[#This Row],[الفئة]]</f>
        <v>250</v>
      </c>
      <c r="K36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10000</v>
      </c>
      <c r="L362" s="60"/>
      <c r="M362" s="60">
        <f>Table5[[#This Row],[الاجمالي]]-Table5[[#This Row],[المبلغ المدفوع]]</f>
        <v>10000</v>
      </c>
      <c r="N362" s="60"/>
    </row>
    <row r="363" spans="1:14" hidden="1" x14ac:dyDescent="0.3">
      <c r="A363" s="52">
        <f t="shared" si="3"/>
        <v>360</v>
      </c>
      <c r="B363" s="74" t="s">
        <v>89</v>
      </c>
      <c r="C363" s="75">
        <v>45342</v>
      </c>
      <c r="D363" s="74">
        <v>324</v>
      </c>
      <c r="E363" s="60">
        <v>25</v>
      </c>
      <c r="F363" s="76">
        <v>1</v>
      </c>
      <c r="G363" s="60">
        <v>45</v>
      </c>
      <c r="H363" s="60"/>
      <c r="I363" s="60"/>
      <c r="J363" s="60">
        <f>Table5[[#This Row],[العدد]]*Table5[[#This Row],[الفئة]]</f>
        <v>25</v>
      </c>
      <c r="K36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1125</v>
      </c>
      <c r="L363" s="60"/>
      <c r="M363" s="60">
        <f>Table5[[#This Row],[الاجمالي]]-Table5[[#This Row],[المبلغ المدفوع]]</f>
        <v>1125</v>
      </c>
      <c r="N363" s="60"/>
    </row>
    <row r="364" spans="1:14" hidden="1" x14ac:dyDescent="0.3">
      <c r="A364" s="52">
        <f t="shared" si="3"/>
        <v>361</v>
      </c>
      <c r="B364" s="74" t="s">
        <v>89</v>
      </c>
      <c r="C364" s="75">
        <v>45342</v>
      </c>
      <c r="D364" s="74">
        <v>324</v>
      </c>
      <c r="E364" s="60">
        <v>2</v>
      </c>
      <c r="F364" s="76">
        <v>1.6</v>
      </c>
      <c r="G364" s="60">
        <v>38</v>
      </c>
      <c r="H364" s="60"/>
      <c r="I364" s="60"/>
      <c r="J364" s="60">
        <f>Table5[[#This Row],[العدد]]*Table5[[#This Row],[الفئة]]</f>
        <v>3.2</v>
      </c>
      <c r="K36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</v>
      </c>
      <c r="L364" s="60"/>
      <c r="M364" s="60">
        <f>Table5[[#This Row],[الاجمالي]]-Table5[[#This Row],[المبلغ المدفوع]]</f>
        <v>152</v>
      </c>
      <c r="N364" s="60"/>
    </row>
    <row r="365" spans="1:14" hidden="1" x14ac:dyDescent="0.3">
      <c r="A365" s="52">
        <f t="shared" si="3"/>
        <v>362</v>
      </c>
      <c r="B365" s="74"/>
      <c r="C365" s="75"/>
      <c r="D365" s="74"/>
      <c r="E365" s="60"/>
      <c r="F365" s="76"/>
      <c r="G365" s="60"/>
      <c r="H365" s="60"/>
      <c r="I365" s="60"/>
      <c r="J365" s="60">
        <f>Table5[[#This Row],[العدد]]*Table5[[#This Row],[الفئة]]</f>
        <v>0</v>
      </c>
      <c r="K36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65" s="60"/>
      <c r="M365" s="60">
        <f>Table5[[#This Row],[الاجمالي]]-Table5[[#This Row],[المبلغ المدفوع]]</f>
        <v>0</v>
      </c>
      <c r="N365" s="60"/>
    </row>
    <row r="366" spans="1:14" hidden="1" x14ac:dyDescent="0.3">
      <c r="A366" s="52">
        <f t="shared" si="3"/>
        <v>363</v>
      </c>
      <c r="B366" s="74" t="s">
        <v>119</v>
      </c>
      <c r="C366" s="75">
        <v>45346</v>
      </c>
      <c r="D366" s="74">
        <v>325</v>
      </c>
      <c r="E366" s="60">
        <v>65</v>
      </c>
      <c r="F366" s="76">
        <v>5</v>
      </c>
      <c r="G366" s="60">
        <v>39</v>
      </c>
      <c r="H366" s="60"/>
      <c r="I366" s="60"/>
      <c r="J366" s="60">
        <f>Table5[[#This Row],[العدد]]*Table5[[#This Row],[الفئة]]</f>
        <v>325</v>
      </c>
      <c r="K36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12675</v>
      </c>
      <c r="L366" s="60"/>
      <c r="M366" s="60">
        <f>Table5[[#This Row],[الاجمالي]]-Table5[[#This Row],[المبلغ المدفوع]]</f>
        <v>12675</v>
      </c>
      <c r="N366" s="60"/>
    </row>
    <row r="367" spans="1:14" hidden="1" x14ac:dyDescent="0.3">
      <c r="A367" s="52">
        <f t="shared" si="3"/>
        <v>364</v>
      </c>
      <c r="B367" s="74" t="s">
        <v>119</v>
      </c>
      <c r="C367" s="75">
        <v>45346</v>
      </c>
      <c r="D367" s="74">
        <v>325</v>
      </c>
      <c r="E367" s="60">
        <v>5</v>
      </c>
      <c r="F367" s="76">
        <v>0.8</v>
      </c>
      <c r="G367" s="60">
        <v>38</v>
      </c>
      <c r="H367" s="60"/>
      <c r="I367" s="60"/>
      <c r="J367" s="60">
        <f>Table5[[#This Row],[العدد]]*Table5[[#This Row],[الفئة]]</f>
        <v>4</v>
      </c>
      <c r="K36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</v>
      </c>
      <c r="L367" s="60"/>
      <c r="M367" s="60">
        <f>Table5[[#This Row],[الاجمالي]]-Table5[[#This Row],[المبلغ المدفوع]]</f>
        <v>190</v>
      </c>
      <c r="N367" s="60"/>
    </row>
    <row r="368" spans="1:14" hidden="1" x14ac:dyDescent="0.3">
      <c r="A368" s="52">
        <f t="shared" si="3"/>
        <v>365</v>
      </c>
      <c r="B368" s="74"/>
      <c r="C368" s="75"/>
      <c r="D368" s="74"/>
      <c r="E368" s="60"/>
      <c r="F368" s="76"/>
      <c r="G368" s="60"/>
      <c r="H368" s="60"/>
      <c r="I368" s="60"/>
      <c r="J368" s="60">
        <f>Table5[[#This Row],[العدد]]*Table5[[#This Row],[الفئة]]</f>
        <v>0</v>
      </c>
      <c r="K36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68" s="60"/>
      <c r="M368" s="60">
        <f>Table5[[#This Row],[الاجمالي]]-Table5[[#This Row],[المبلغ المدفوع]]</f>
        <v>0</v>
      </c>
      <c r="N368" s="60"/>
    </row>
    <row r="369" spans="1:14" hidden="1" x14ac:dyDescent="0.3">
      <c r="A369" s="52">
        <f t="shared" si="3"/>
        <v>366</v>
      </c>
      <c r="B369" s="74" t="s">
        <v>121</v>
      </c>
      <c r="C369" s="75">
        <v>45346</v>
      </c>
      <c r="D369" s="74">
        <v>326</v>
      </c>
      <c r="E369" s="60">
        <v>8</v>
      </c>
      <c r="F369" s="76">
        <v>5</v>
      </c>
      <c r="G369" s="60">
        <v>40</v>
      </c>
      <c r="H369" s="60"/>
      <c r="I369" s="60"/>
      <c r="J369" s="60">
        <f>Table5[[#This Row],[العدد]]*Table5[[#This Row],[الفئة]]</f>
        <v>40</v>
      </c>
      <c r="K36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1600</v>
      </c>
      <c r="L369" s="60">
        <f>Table5[[#This Row],[الاجمالي]]</f>
        <v>1600</v>
      </c>
      <c r="M369" s="60">
        <f>Table5[[#This Row],[الاجمالي]]-Table5[[#This Row],[المبلغ المدفوع]]</f>
        <v>0</v>
      </c>
      <c r="N369" s="60"/>
    </row>
    <row r="370" spans="1:14" hidden="1" x14ac:dyDescent="0.3">
      <c r="A370" s="52">
        <f t="shared" si="3"/>
        <v>367</v>
      </c>
      <c r="B370" s="74" t="s">
        <v>121</v>
      </c>
      <c r="C370" s="75">
        <v>45346</v>
      </c>
      <c r="D370" s="74">
        <v>326</v>
      </c>
      <c r="E370" s="60">
        <v>10</v>
      </c>
      <c r="F370" s="76">
        <v>0.8</v>
      </c>
      <c r="G370" s="60">
        <v>37</v>
      </c>
      <c r="H370" s="60"/>
      <c r="I370" s="60"/>
      <c r="J370" s="60">
        <f>Table5[[#This Row],[العدد]]*Table5[[#This Row],[الفئة]]</f>
        <v>8</v>
      </c>
      <c r="K37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370</v>
      </c>
      <c r="L370" s="60">
        <f>Table5[[#This Row],[الاجمالي]]</f>
        <v>370</v>
      </c>
      <c r="M370" s="60">
        <f>Table5[[#This Row],[الاجمالي]]-Table5[[#This Row],[المبلغ المدفوع]]</f>
        <v>0</v>
      </c>
      <c r="N370" s="60"/>
    </row>
    <row r="371" spans="1:14" hidden="1" x14ac:dyDescent="0.3">
      <c r="A371" s="52">
        <f t="shared" si="3"/>
        <v>368</v>
      </c>
      <c r="B371" s="74"/>
      <c r="C371" s="75"/>
      <c r="D371" s="74"/>
      <c r="E371" s="60"/>
      <c r="F371" s="76"/>
      <c r="G371" s="60"/>
      <c r="H371" s="60"/>
      <c r="I371" s="60"/>
      <c r="J371" s="60">
        <f>Table5[[#This Row],[العدد]]*Table5[[#This Row],[الفئة]]</f>
        <v>0</v>
      </c>
      <c r="K37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71" s="60"/>
      <c r="M371" s="60">
        <f>Table5[[#This Row],[الاجمالي]]-Table5[[#This Row],[المبلغ المدفوع]]</f>
        <v>0</v>
      </c>
      <c r="N371" s="60"/>
    </row>
    <row r="372" spans="1:14" hidden="1" x14ac:dyDescent="0.3">
      <c r="A372" s="52">
        <f t="shared" si="3"/>
        <v>369</v>
      </c>
      <c r="B372" s="74" t="s">
        <v>122</v>
      </c>
      <c r="C372" s="75">
        <v>45346</v>
      </c>
      <c r="D372" s="74">
        <v>327</v>
      </c>
      <c r="E372" s="60">
        <v>5</v>
      </c>
      <c r="F372" s="76">
        <v>5</v>
      </c>
      <c r="G372" s="60">
        <v>40</v>
      </c>
      <c r="H372" s="60"/>
      <c r="I372" s="60"/>
      <c r="J372" s="60">
        <f>Table5[[#This Row],[العدد]]*Table5[[#This Row],[الفئة]]</f>
        <v>25</v>
      </c>
      <c r="K37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</v>
      </c>
      <c r="L372" s="60">
        <f>Table5[[#This Row],[الاجمالي]]</f>
        <v>1000</v>
      </c>
      <c r="M372" s="60">
        <f>Table5[[#This Row],[الاجمالي]]-Table5[[#This Row],[المبلغ المدفوع]]</f>
        <v>0</v>
      </c>
      <c r="N372" s="60"/>
    </row>
    <row r="373" spans="1:14" hidden="1" x14ac:dyDescent="0.3">
      <c r="A373" s="52">
        <f t="shared" si="3"/>
        <v>370</v>
      </c>
      <c r="B373" s="74" t="s">
        <v>122</v>
      </c>
      <c r="C373" s="75">
        <v>45346</v>
      </c>
      <c r="D373" s="74">
        <v>327</v>
      </c>
      <c r="E373" s="60">
        <v>10</v>
      </c>
      <c r="F373" s="76">
        <v>0.8</v>
      </c>
      <c r="G373" s="60">
        <v>37</v>
      </c>
      <c r="H373" s="60"/>
      <c r="I373" s="60"/>
      <c r="J373" s="60">
        <f>Table5[[#This Row],[العدد]]*Table5[[#This Row],[الفئة]]</f>
        <v>8</v>
      </c>
      <c r="K37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370</v>
      </c>
      <c r="L373" s="60">
        <f>Table5[[#This Row],[الاجمالي]]</f>
        <v>370</v>
      </c>
      <c r="M373" s="60">
        <f>Table5[[#This Row],[الاجمالي]]-Table5[[#This Row],[المبلغ المدفوع]]</f>
        <v>0</v>
      </c>
      <c r="N373" s="60"/>
    </row>
    <row r="374" spans="1:14" hidden="1" x14ac:dyDescent="0.3">
      <c r="A374" s="52">
        <f t="shared" si="3"/>
        <v>371</v>
      </c>
      <c r="B374" s="74" t="s">
        <v>122</v>
      </c>
      <c r="C374" s="75">
        <v>45346</v>
      </c>
      <c r="D374" s="74">
        <v>327</v>
      </c>
      <c r="E374" s="60">
        <v>6</v>
      </c>
      <c r="F374" s="76">
        <v>5</v>
      </c>
      <c r="G374" s="60">
        <v>40</v>
      </c>
      <c r="H374" s="60"/>
      <c r="I374" s="60"/>
      <c r="J374" s="60">
        <f>Table5[[#This Row],[العدد]]*Table5[[#This Row],[الفئة]]</f>
        <v>30</v>
      </c>
      <c r="K37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1200</v>
      </c>
      <c r="L374" s="60">
        <f>Table5[[#This Row],[الاجمالي]]</f>
        <v>1200</v>
      </c>
      <c r="M374" s="60">
        <f>Table5[[#This Row],[الاجمالي]]-Table5[[#This Row],[المبلغ المدفوع]]</f>
        <v>0</v>
      </c>
      <c r="N374" s="60"/>
    </row>
    <row r="375" spans="1:14" hidden="1" x14ac:dyDescent="0.3">
      <c r="A375" s="52">
        <f t="shared" si="3"/>
        <v>372</v>
      </c>
      <c r="B375" s="74" t="s">
        <v>122</v>
      </c>
      <c r="C375" s="75">
        <v>45346</v>
      </c>
      <c r="D375" s="74">
        <v>327</v>
      </c>
      <c r="E375" s="60">
        <v>10</v>
      </c>
      <c r="F375" s="76">
        <v>0.8</v>
      </c>
      <c r="G375" s="60">
        <v>38</v>
      </c>
      <c r="H375" s="60"/>
      <c r="I375" s="60"/>
      <c r="J375" s="60">
        <f>Table5[[#This Row],[العدد]]*Table5[[#This Row],[الفئة]]</f>
        <v>8</v>
      </c>
      <c r="K37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</v>
      </c>
      <c r="L375" s="60">
        <f>Table5[[#This Row],[الاجمالي]]</f>
        <v>380</v>
      </c>
      <c r="M375" s="60">
        <f>Table5[[#This Row],[الاجمالي]]-Table5[[#This Row],[المبلغ المدفوع]]</f>
        <v>0</v>
      </c>
      <c r="N375" s="60"/>
    </row>
    <row r="376" spans="1:14" hidden="1" x14ac:dyDescent="0.3">
      <c r="A376" s="52">
        <f t="shared" si="3"/>
        <v>373</v>
      </c>
      <c r="B376" s="74"/>
      <c r="C376" s="75"/>
      <c r="D376" s="74"/>
      <c r="E376" s="60"/>
      <c r="F376" s="76"/>
      <c r="G376" s="60"/>
      <c r="H376" s="60"/>
      <c r="I376" s="60"/>
      <c r="J376" s="60">
        <f>Table5[[#This Row],[العدد]]*Table5[[#This Row],[الفئة]]</f>
        <v>0</v>
      </c>
      <c r="K37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76" s="60"/>
      <c r="M376" s="60">
        <f>Table5[[#This Row],[الاجمالي]]-Table5[[#This Row],[المبلغ المدفوع]]</f>
        <v>0</v>
      </c>
      <c r="N376" s="60"/>
    </row>
    <row r="377" spans="1:14" hidden="1" x14ac:dyDescent="0.3">
      <c r="A377" s="52">
        <f t="shared" si="3"/>
        <v>374</v>
      </c>
      <c r="B377" s="74" t="s">
        <v>105</v>
      </c>
      <c r="C377" s="75">
        <v>45346</v>
      </c>
      <c r="D377" s="74">
        <v>328</v>
      </c>
      <c r="E377" s="60">
        <v>100</v>
      </c>
      <c r="F377" s="76">
        <v>0.8</v>
      </c>
      <c r="G377" s="60">
        <v>38</v>
      </c>
      <c r="H377" s="60"/>
      <c r="I377" s="60"/>
      <c r="J377" s="60">
        <f>Table5[[#This Row],[العدد]]*Table5[[#This Row],[الفئة]]</f>
        <v>80</v>
      </c>
      <c r="K37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377" s="60">
        <f>Table5[[#This Row],[الاجمالي]]</f>
        <v>3800</v>
      </c>
      <c r="M377" s="60">
        <f>Table5[[#This Row],[الاجمالي]]-Table5[[#This Row],[المبلغ المدفوع]]</f>
        <v>0</v>
      </c>
      <c r="N377" s="60"/>
    </row>
    <row r="378" spans="1:14" hidden="1" x14ac:dyDescent="0.3">
      <c r="A378" s="52">
        <f t="shared" si="3"/>
        <v>375</v>
      </c>
      <c r="B378" s="74" t="s">
        <v>105</v>
      </c>
      <c r="C378" s="75">
        <v>45346</v>
      </c>
      <c r="D378" s="74">
        <v>328</v>
      </c>
      <c r="E378" s="60">
        <v>5</v>
      </c>
      <c r="F378" s="76">
        <v>5</v>
      </c>
      <c r="G378" s="60">
        <v>40</v>
      </c>
      <c r="H378" s="60"/>
      <c r="I378" s="60"/>
      <c r="J378" s="60">
        <f>Table5[[#This Row],[العدد]]*Table5[[#This Row],[الفئة]]</f>
        <v>25</v>
      </c>
      <c r="K37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</v>
      </c>
      <c r="L378" s="60">
        <f>Table5[[#This Row],[الاجمالي]]</f>
        <v>1000</v>
      </c>
      <c r="M378" s="60">
        <f>Table5[[#This Row],[الاجمالي]]-Table5[[#This Row],[المبلغ المدفوع]]</f>
        <v>0</v>
      </c>
      <c r="N378" s="60"/>
    </row>
    <row r="379" spans="1:14" hidden="1" x14ac:dyDescent="0.3">
      <c r="A379" s="52">
        <f t="shared" si="3"/>
        <v>376</v>
      </c>
      <c r="B379" s="74"/>
      <c r="C379" s="75"/>
      <c r="D379" s="74"/>
      <c r="E379" s="60"/>
      <c r="F379" s="76"/>
      <c r="G379" s="60"/>
      <c r="H379" s="60"/>
      <c r="I379" s="60"/>
      <c r="J379" s="60">
        <f>Table5[[#This Row],[العدد]]*Table5[[#This Row],[الفئة]]</f>
        <v>0</v>
      </c>
      <c r="K37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79" s="60"/>
      <c r="M379" s="60">
        <f>Table5[[#This Row],[الاجمالي]]-Table5[[#This Row],[المبلغ المدفوع]]</f>
        <v>0</v>
      </c>
      <c r="N379" s="60"/>
    </row>
    <row r="380" spans="1:14" hidden="1" x14ac:dyDescent="0.3">
      <c r="A380" s="52">
        <f t="shared" si="3"/>
        <v>377</v>
      </c>
      <c r="B380" s="74" t="s">
        <v>27</v>
      </c>
      <c r="C380" s="75">
        <v>45346</v>
      </c>
      <c r="D380" s="74">
        <v>329</v>
      </c>
      <c r="E380" s="60">
        <v>30</v>
      </c>
      <c r="F380" s="76">
        <v>5</v>
      </c>
      <c r="G380" s="60">
        <v>45</v>
      </c>
      <c r="H380" s="60"/>
      <c r="I380" s="60"/>
      <c r="J380" s="60">
        <f>Table5[[#This Row],[العدد]]*Table5[[#This Row],[الفئة]]</f>
        <v>150</v>
      </c>
      <c r="K38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6750</v>
      </c>
      <c r="L380" s="60">
        <v>105000</v>
      </c>
      <c r="M380" s="60">
        <f>Table5[[#This Row],[الاجمالي]]-Table5[[#This Row],[المبلغ المدفوع]]</f>
        <v>-98250</v>
      </c>
      <c r="N380" s="60"/>
    </row>
    <row r="381" spans="1:14" hidden="1" x14ac:dyDescent="0.3">
      <c r="A381" s="52">
        <f t="shared" si="3"/>
        <v>378</v>
      </c>
      <c r="B381" s="74" t="s">
        <v>27</v>
      </c>
      <c r="C381" s="75">
        <v>45346</v>
      </c>
      <c r="D381" s="74">
        <v>329</v>
      </c>
      <c r="E381" s="60">
        <v>20</v>
      </c>
      <c r="F381" s="76">
        <v>0.8</v>
      </c>
      <c r="G381" s="60">
        <v>40</v>
      </c>
      <c r="H381" s="60"/>
      <c r="I381" s="60"/>
      <c r="J381" s="60">
        <f>Table5[[#This Row],[العدد]]*Table5[[#This Row],[الفئة]]</f>
        <v>16</v>
      </c>
      <c r="K38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</v>
      </c>
      <c r="L381" s="60"/>
      <c r="M381" s="60">
        <f>Table5[[#This Row],[الاجمالي]]-Table5[[#This Row],[المبلغ المدفوع]]</f>
        <v>800</v>
      </c>
      <c r="N381" s="60"/>
    </row>
    <row r="382" spans="1:14" hidden="1" x14ac:dyDescent="0.3">
      <c r="A382" s="52">
        <f t="shared" si="3"/>
        <v>379</v>
      </c>
      <c r="B382" s="74"/>
      <c r="C382" s="75"/>
      <c r="D382" s="74"/>
      <c r="E382" s="60"/>
      <c r="F382" s="76"/>
      <c r="G382" s="60"/>
      <c r="H382" s="60"/>
      <c r="I382" s="60"/>
      <c r="J382" s="60">
        <f>Table5[[#This Row],[العدد]]*Table5[[#This Row],[الفئة]]</f>
        <v>0</v>
      </c>
      <c r="K38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82" s="60"/>
      <c r="M382" s="60">
        <f>Table5[[#This Row],[الاجمالي]]-Table5[[#This Row],[المبلغ المدفوع]]</f>
        <v>0</v>
      </c>
      <c r="N382" s="60"/>
    </row>
    <row r="383" spans="1:14" hidden="1" x14ac:dyDescent="0.3">
      <c r="A383" s="52">
        <f t="shared" si="3"/>
        <v>380</v>
      </c>
      <c r="B383" s="74" t="s">
        <v>77</v>
      </c>
      <c r="C383" s="75">
        <v>45304</v>
      </c>
      <c r="D383" s="74">
        <v>330</v>
      </c>
      <c r="E383" s="60">
        <v>4</v>
      </c>
      <c r="F383" s="76">
        <v>5</v>
      </c>
      <c r="G383" s="60">
        <v>40</v>
      </c>
      <c r="H383" s="60"/>
      <c r="I383" s="60"/>
      <c r="J383" s="60">
        <f>Table5[[#This Row],[العدد]]*Table5[[#This Row],[الفئة]]</f>
        <v>20</v>
      </c>
      <c r="K38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</v>
      </c>
      <c r="L383" s="60">
        <v>800</v>
      </c>
      <c r="M383" s="60">
        <f>Table5[[#This Row],[الاجمالي]]-Table5[[#This Row],[المبلغ المدفوع]]</f>
        <v>0</v>
      </c>
      <c r="N383" s="60"/>
    </row>
    <row r="384" spans="1:14" hidden="1" x14ac:dyDescent="0.3">
      <c r="A384" s="52">
        <f t="shared" si="3"/>
        <v>381</v>
      </c>
      <c r="B384" s="74"/>
      <c r="C384" s="75"/>
      <c r="D384" s="74"/>
      <c r="E384" s="60"/>
      <c r="F384" s="76"/>
      <c r="G384" s="60"/>
      <c r="H384" s="60"/>
      <c r="I384" s="60"/>
      <c r="J384" s="60">
        <f>Table5[[#This Row],[العدد]]*Table5[[#This Row],[الفئة]]</f>
        <v>0</v>
      </c>
      <c r="K38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84" s="60"/>
      <c r="M384" s="60">
        <f>Table5[[#This Row],[الاجمالي]]-Table5[[#This Row],[المبلغ المدفوع]]</f>
        <v>0</v>
      </c>
      <c r="N384" s="60"/>
    </row>
    <row r="385" spans="1:14" hidden="1" x14ac:dyDescent="0.3">
      <c r="A385" s="52">
        <f t="shared" si="3"/>
        <v>382</v>
      </c>
      <c r="B385" s="74" t="s">
        <v>31</v>
      </c>
      <c r="C385" s="75">
        <v>45308</v>
      </c>
      <c r="D385" s="74">
        <v>331</v>
      </c>
      <c r="E385" s="60">
        <v>20</v>
      </c>
      <c r="F385" s="76">
        <v>5</v>
      </c>
      <c r="G385" s="60">
        <v>40</v>
      </c>
      <c r="H385" s="60"/>
      <c r="I385" s="60"/>
      <c r="J385" s="60">
        <f>Table5[[#This Row],[العدد]]*Table5[[#This Row],[الفئة]]</f>
        <v>100</v>
      </c>
      <c r="K38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385" s="60">
        <f>Table5[[#This Row],[الاجمالي]]</f>
        <v>4000</v>
      </c>
      <c r="M385" s="60">
        <f>Table5[[#This Row],[الاجمالي]]-Table5[[#This Row],[المبلغ المدفوع]]</f>
        <v>0</v>
      </c>
      <c r="N385" s="60"/>
    </row>
    <row r="386" spans="1:14" hidden="1" x14ac:dyDescent="0.3">
      <c r="A386" s="52">
        <f t="shared" si="3"/>
        <v>383</v>
      </c>
      <c r="B386" s="74" t="s">
        <v>31</v>
      </c>
      <c r="C386" s="75">
        <v>45308</v>
      </c>
      <c r="D386" s="74">
        <v>331</v>
      </c>
      <c r="E386" s="60">
        <v>10</v>
      </c>
      <c r="F386" s="76">
        <v>1.6</v>
      </c>
      <c r="G386" s="60">
        <v>37</v>
      </c>
      <c r="H386" s="60"/>
      <c r="I386" s="60"/>
      <c r="J386" s="60">
        <f>Table5[[#This Row],[العدد]]*Table5[[#This Row],[الفئة]]</f>
        <v>16</v>
      </c>
      <c r="K38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740</v>
      </c>
      <c r="L386" s="60">
        <f>Table5[[#This Row],[الاجمالي]]</f>
        <v>740</v>
      </c>
      <c r="M386" s="60">
        <f>Table5[[#This Row],[الاجمالي]]-Table5[[#This Row],[المبلغ المدفوع]]</f>
        <v>0</v>
      </c>
      <c r="N386" s="60"/>
    </row>
    <row r="387" spans="1:14" hidden="1" x14ac:dyDescent="0.3">
      <c r="A387" s="52">
        <f t="shared" si="3"/>
        <v>384</v>
      </c>
      <c r="B387" s="74" t="s">
        <v>31</v>
      </c>
      <c r="C387" s="75">
        <v>45308</v>
      </c>
      <c r="D387" s="74">
        <v>331</v>
      </c>
      <c r="E387" s="60">
        <v>1</v>
      </c>
      <c r="F387" s="76">
        <v>0.8</v>
      </c>
      <c r="G387" s="60">
        <v>37</v>
      </c>
      <c r="H387" s="60"/>
      <c r="I387" s="60"/>
      <c r="J387" s="60">
        <f>Table5[[#This Row],[العدد]]*Table5[[#This Row],[الفئة]]</f>
        <v>0.8</v>
      </c>
      <c r="K38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37</v>
      </c>
      <c r="L387" s="60">
        <f>Table5[[#This Row],[الاجمالي]]</f>
        <v>37</v>
      </c>
      <c r="M387" s="60">
        <f>Table5[[#This Row],[الاجمالي]]-Table5[[#This Row],[المبلغ المدفوع]]</f>
        <v>0</v>
      </c>
      <c r="N387" s="60"/>
    </row>
    <row r="388" spans="1:14" hidden="1" x14ac:dyDescent="0.3">
      <c r="A388" s="52">
        <f t="shared" si="3"/>
        <v>385</v>
      </c>
      <c r="B388" s="74" t="s">
        <v>31</v>
      </c>
      <c r="C388" s="75">
        <v>45308</v>
      </c>
      <c r="D388" s="74">
        <v>331</v>
      </c>
      <c r="E388" s="60">
        <v>30</v>
      </c>
      <c r="F388" s="76">
        <v>1.6</v>
      </c>
      <c r="G388" s="60">
        <v>37</v>
      </c>
      <c r="H388" s="60"/>
      <c r="I388" s="60"/>
      <c r="J388" s="60">
        <f>Table5[[#This Row],[العدد]]*Table5[[#This Row],[الفئة]]</f>
        <v>48</v>
      </c>
      <c r="K38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2220</v>
      </c>
      <c r="L388" s="60">
        <f>Table5[[#This Row],[الاجمالي]]</f>
        <v>2220</v>
      </c>
      <c r="M388" s="60">
        <f>Table5[[#This Row],[الاجمالي]]-Table5[[#This Row],[المبلغ المدفوع]]</f>
        <v>0</v>
      </c>
      <c r="N388" s="60"/>
    </row>
    <row r="389" spans="1:14" hidden="1" x14ac:dyDescent="0.3">
      <c r="A389" s="52">
        <f t="shared" si="3"/>
        <v>386</v>
      </c>
      <c r="B389" s="74" t="s">
        <v>31</v>
      </c>
      <c r="C389" s="75">
        <v>45308</v>
      </c>
      <c r="D389" s="74">
        <v>331</v>
      </c>
      <c r="E389" s="60">
        <v>1</v>
      </c>
      <c r="F389" s="76">
        <v>5</v>
      </c>
      <c r="G389" s="60">
        <v>40</v>
      </c>
      <c r="H389" s="60"/>
      <c r="I389" s="60"/>
      <c r="J389" s="60">
        <f>Table5[[#This Row],[العدد]]*Table5[[#This Row],[الفئة]]</f>
        <v>5</v>
      </c>
      <c r="K38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389" s="60">
        <f>Table5[[#This Row],[الاجمالي]]</f>
        <v>200</v>
      </c>
      <c r="M389" s="60">
        <f>Table5[[#This Row],[الاجمالي]]-Table5[[#This Row],[المبلغ المدفوع]]</f>
        <v>0</v>
      </c>
      <c r="N389" s="60"/>
    </row>
    <row r="390" spans="1:14" hidden="1" x14ac:dyDescent="0.3">
      <c r="A390" s="52">
        <f t="shared" si="3"/>
        <v>387</v>
      </c>
      <c r="B390" s="74" t="s">
        <v>31</v>
      </c>
      <c r="C390" s="75">
        <v>45308</v>
      </c>
      <c r="D390" s="74">
        <v>331</v>
      </c>
      <c r="E390" s="60">
        <v>1</v>
      </c>
      <c r="F390" s="76">
        <v>1.6</v>
      </c>
      <c r="G390" s="60">
        <v>40</v>
      </c>
      <c r="H390" s="60"/>
      <c r="I390" s="60"/>
      <c r="J390" s="60">
        <f>Table5[[#This Row],[العدد]]*Table5[[#This Row],[الفئة]]</f>
        <v>1.6</v>
      </c>
      <c r="K39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</v>
      </c>
      <c r="L390" s="60">
        <f>Table5[[#This Row],[الاجمالي]]</f>
        <v>80</v>
      </c>
      <c r="M390" s="60">
        <f>Table5[[#This Row],[الاجمالي]]-Table5[[#This Row],[المبلغ المدفوع]]</f>
        <v>0</v>
      </c>
      <c r="N390" s="60"/>
    </row>
    <row r="391" spans="1:14" hidden="1" x14ac:dyDescent="0.3">
      <c r="A391" s="52">
        <f t="shared" si="3"/>
        <v>388</v>
      </c>
      <c r="B391" s="74" t="s">
        <v>31</v>
      </c>
      <c r="C391" s="75">
        <v>45308</v>
      </c>
      <c r="D391" s="74">
        <v>331</v>
      </c>
      <c r="E391" s="60">
        <v>0.5</v>
      </c>
      <c r="F391" s="76">
        <v>1</v>
      </c>
      <c r="G391" s="60">
        <v>40</v>
      </c>
      <c r="H391" s="60"/>
      <c r="I391" s="60"/>
      <c r="J391" s="60">
        <f>Table5[[#This Row],[العدد]]*Table5[[#This Row],[الفئة]]</f>
        <v>0.5</v>
      </c>
      <c r="K39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</v>
      </c>
      <c r="L391" s="60">
        <f>Table5[[#This Row],[الاجمالي]]</f>
        <v>20</v>
      </c>
      <c r="M391" s="60">
        <f>Table5[[#This Row],[الاجمالي]]-Table5[[#This Row],[المبلغ المدفوع]]</f>
        <v>0</v>
      </c>
      <c r="N391" s="60"/>
    </row>
    <row r="392" spans="1:14" hidden="1" x14ac:dyDescent="0.3">
      <c r="A392" s="52">
        <f t="shared" si="3"/>
        <v>389</v>
      </c>
      <c r="B392" s="74"/>
      <c r="C392" s="75"/>
      <c r="D392" s="74"/>
      <c r="E392" s="60"/>
      <c r="F392" s="76"/>
      <c r="G392" s="60"/>
      <c r="H392" s="60"/>
      <c r="I392" s="60"/>
      <c r="J392" s="60">
        <f>Table5[[#This Row],[العدد]]*Table5[[#This Row],[الفئة]]</f>
        <v>0</v>
      </c>
      <c r="K39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92" s="60"/>
      <c r="M392" s="60">
        <f>Table5[[#This Row],[الاجمالي]]-Table5[[#This Row],[المبلغ المدفوع]]</f>
        <v>0</v>
      </c>
      <c r="N392" s="60"/>
    </row>
    <row r="393" spans="1:14" hidden="1" x14ac:dyDescent="0.3">
      <c r="A393" s="52">
        <f t="shared" ref="A393:A456" si="4">A392+1</f>
        <v>390</v>
      </c>
      <c r="B393" s="74" t="s">
        <v>38</v>
      </c>
      <c r="C393" s="75">
        <v>45309</v>
      </c>
      <c r="D393" s="74">
        <v>332</v>
      </c>
      <c r="E393" s="60">
        <v>2</v>
      </c>
      <c r="F393" s="76">
        <v>5</v>
      </c>
      <c r="G393" s="60">
        <v>40</v>
      </c>
      <c r="H393" s="60"/>
      <c r="I393" s="60"/>
      <c r="J393" s="60">
        <f>Table5[[#This Row],[العدد]]*Table5[[#This Row],[الفئة]]</f>
        <v>10</v>
      </c>
      <c r="K39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393" s="60">
        <v>400</v>
      </c>
      <c r="M393" s="60">
        <f>Table5[[#This Row],[الاجمالي]]-Table5[[#This Row],[المبلغ المدفوع]]</f>
        <v>0</v>
      </c>
      <c r="N393" s="60"/>
    </row>
    <row r="394" spans="1:14" hidden="1" x14ac:dyDescent="0.3">
      <c r="A394" s="52">
        <f t="shared" si="4"/>
        <v>391</v>
      </c>
      <c r="B394" s="74"/>
      <c r="C394" s="75"/>
      <c r="D394" s="74"/>
      <c r="E394" s="60"/>
      <c r="F394" s="76"/>
      <c r="G394" s="60"/>
      <c r="H394" s="60"/>
      <c r="I394" s="60"/>
      <c r="J394" s="60">
        <f>Table5[[#This Row],[العدد]]*Table5[[#This Row],[الفئة]]</f>
        <v>0</v>
      </c>
      <c r="K39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94" s="60"/>
      <c r="M394" s="60">
        <f>Table5[[#This Row],[الاجمالي]]-Table5[[#This Row],[المبلغ المدفوع]]</f>
        <v>0</v>
      </c>
      <c r="N394" s="60"/>
    </row>
    <row r="395" spans="1:14" hidden="1" x14ac:dyDescent="0.3">
      <c r="A395" s="52">
        <f t="shared" si="4"/>
        <v>392</v>
      </c>
      <c r="B395" s="74" t="s">
        <v>123</v>
      </c>
      <c r="C395" s="75">
        <v>45313</v>
      </c>
      <c r="D395" s="74">
        <v>333</v>
      </c>
      <c r="E395" s="60">
        <v>5</v>
      </c>
      <c r="F395" s="76">
        <v>5</v>
      </c>
      <c r="G395" s="60">
        <v>40</v>
      </c>
      <c r="H395" s="60"/>
      <c r="I395" s="60"/>
      <c r="J395" s="60">
        <f>Table5[[#This Row],[العدد]]*Table5[[#This Row],[الفئة]]</f>
        <v>25</v>
      </c>
      <c r="K39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</v>
      </c>
      <c r="L395" s="60"/>
      <c r="M395" s="60">
        <f>Table5[[#This Row],[الاجمالي]]-Table5[[#This Row],[المبلغ المدفوع]]</f>
        <v>1000</v>
      </c>
      <c r="N395" s="60"/>
    </row>
    <row r="396" spans="1:14" hidden="1" x14ac:dyDescent="0.3">
      <c r="A396" s="52">
        <f t="shared" si="4"/>
        <v>393</v>
      </c>
      <c r="B396" s="74"/>
      <c r="C396" s="75"/>
      <c r="D396" s="74"/>
      <c r="E396" s="60"/>
      <c r="F396" s="76"/>
      <c r="G396" s="60"/>
      <c r="H396" s="60"/>
      <c r="I396" s="60"/>
      <c r="J396" s="60">
        <f>Table5[[#This Row],[العدد]]*Table5[[#This Row],[الفئة]]</f>
        <v>0</v>
      </c>
      <c r="K39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396" s="60"/>
      <c r="M396" s="60">
        <f>Table5[[#This Row],[الاجمالي]]-Table5[[#This Row],[المبلغ المدفوع]]</f>
        <v>0</v>
      </c>
      <c r="N396" s="60"/>
    </row>
    <row r="397" spans="1:14" hidden="1" x14ac:dyDescent="0.3">
      <c r="A397" s="52">
        <f t="shared" si="4"/>
        <v>394</v>
      </c>
      <c r="B397" s="74" t="s">
        <v>31</v>
      </c>
      <c r="C397" s="75">
        <v>45314</v>
      </c>
      <c r="D397" s="74">
        <v>334</v>
      </c>
      <c r="E397" s="60">
        <v>3</v>
      </c>
      <c r="F397" s="76">
        <v>5</v>
      </c>
      <c r="G397" s="60">
        <v>40</v>
      </c>
      <c r="H397" s="60"/>
      <c r="I397" s="60"/>
      <c r="J397" s="60">
        <f>Table5[[#This Row],[العدد]]*Table5[[#This Row],[الفئة]]</f>
        <v>15</v>
      </c>
      <c r="K39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397" s="60">
        <f>Table5[[#This Row],[الاجمالي]]</f>
        <v>600</v>
      </c>
      <c r="M397" s="60">
        <f>Table5[[#This Row],[الاجمالي]]-Table5[[#This Row],[المبلغ المدفوع]]</f>
        <v>0</v>
      </c>
      <c r="N397" s="60"/>
    </row>
    <row r="398" spans="1:14" hidden="1" x14ac:dyDescent="0.3">
      <c r="A398" s="52">
        <f t="shared" si="4"/>
        <v>395</v>
      </c>
      <c r="B398" s="74" t="s">
        <v>31</v>
      </c>
      <c r="C398" s="75">
        <v>45314</v>
      </c>
      <c r="D398" s="74">
        <v>334</v>
      </c>
      <c r="E398" s="60">
        <v>2</v>
      </c>
      <c r="F398" s="76">
        <v>5</v>
      </c>
      <c r="G398" s="60">
        <v>45</v>
      </c>
      <c r="H398" s="60"/>
      <c r="I398" s="60"/>
      <c r="J398" s="60">
        <f>Table5[[#This Row],[العدد]]*Table5[[#This Row],[الفئة]]</f>
        <v>10</v>
      </c>
      <c r="K39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450</v>
      </c>
      <c r="L398" s="60">
        <f>Table5[[#This Row],[الاجمالي]]</f>
        <v>450</v>
      </c>
      <c r="M398" s="60">
        <f>Table5[[#This Row],[الاجمالي]]-Table5[[#This Row],[المبلغ المدفوع]]</f>
        <v>0</v>
      </c>
      <c r="N398" s="60"/>
    </row>
    <row r="399" spans="1:14" hidden="1" x14ac:dyDescent="0.3">
      <c r="A399" s="52">
        <f t="shared" si="4"/>
        <v>396</v>
      </c>
      <c r="B399" s="74" t="s">
        <v>31</v>
      </c>
      <c r="C399" s="75">
        <v>45314</v>
      </c>
      <c r="D399" s="74">
        <v>334</v>
      </c>
      <c r="E399" s="60">
        <v>3</v>
      </c>
      <c r="F399" s="76">
        <v>5</v>
      </c>
      <c r="G399" s="60">
        <v>40</v>
      </c>
      <c r="H399" s="60"/>
      <c r="I399" s="60"/>
      <c r="J399" s="60">
        <f>Table5[[#This Row],[العدد]]*Table5[[#This Row],[الفئة]]</f>
        <v>15</v>
      </c>
      <c r="K39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399" s="60">
        <f>Table5[[#This Row],[الاجمالي]]</f>
        <v>600</v>
      </c>
      <c r="M399" s="60">
        <f>Table5[[#This Row],[الاجمالي]]-Table5[[#This Row],[المبلغ المدفوع]]</f>
        <v>0</v>
      </c>
      <c r="N399" s="60"/>
    </row>
    <row r="400" spans="1:14" hidden="1" x14ac:dyDescent="0.3">
      <c r="A400" s="52">
        <f t="shared" si="4"/>
        <v>397</v>
      </c>
      <c r="B400" s="74" t="s">
        <v>31</v>
      </c>
      <c r="C400" s="75">
        <v>45314</v>
      </c>
      <c r="D400" s="74">
        <v>334</v>
      </c>
      <c r="E400" s="60">
        <v>2</v>
      </c>
      <c r="F400" s="76">
        <v>5</v>
      </c>
      <c r="G400" s="60">
        <v>40</v>
      </c>
      <c r="H400" s="60"/>
      <c r="I400" s="60"/>
      <c r="J400" s="60">
        <f>Table5[[#This Row],[العدد]]*Table5[[#This Row],[الفئة]]</f>
        <v>10</v>
      </c>
      <c r="K40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400" s="60">
        <f>Table5[[#This Row],[الاجمالي]]</f>
        <v>400</v>
      </c>
      <c r="M400" s="60">
        <f>Table5[[#This Row],[الاجمالي]]-Table5[[#This Row],[المبلغ المدفوع]]</f>
        <v>0</v>
      </c>
      <c r="N400" s="60"/>
    </row>
    <row r="401" spans="1:14" hidden="1" x14ac:dyDescent="0.3">
      <c r="A401" s="52">
        <f t="shared" si="4"/>
        <v>398</v>
      </c>
      <c r="B401" s="74" t="s">
        <v>31</v>
      </c>
      <c r="C401" s="75">
        <v>45314</v>
      </c>
      <c r="D401" s="74">
        <v>334</v>
      </c>
      <c r="E401" s="60">
        <v>3</v>
      </c>
      <c r="F401" s="76">
        <v>5</v>
      </c>
      <c r="G401" s="60">
        <v>45</v>
      </c>
      <c r="H401" s="60"/>
      <c r="I401" s="60"/>
      <c r="J401" s="60">
        <f>Table5[[#This Row],[العدد]]*Table5[[#This Row],[الفئة]]</f>
        <v>15</v>
      </c>
      <c r="K40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675</v>
      </c>
      <c r="L401" s="60">
        <f>Table5[[#This Row],[الاجمالي]]</f>
        <v>675</v>
      </c>
      <c r="M401" s="60">
        <f>Table5[[#This Row],[الاجمالي]]-Table5[[#This Row],[المبلغ المدفوع]]</f>
        <v>0</v>
      </c>
      <c r="N401" s="60"/>
    </row>
    <row r="402" spans="1:14" hidden="1" x14ac:dyDescent="0.3">
      <c r="A402" s="52">
        <f t="shared" si="4"/>
        <v>399</v>
      </c>
      <c r="B402" s="74"/>
      <c r="C402" s="75"/>
      <c r="D402" s="74"/>
      <c r="E402" s="60"/>
      <c r="F402" s="76"/>
      <c r="G402" s="60"/>
      <c r="H402" s="60"/>
      <c r="I402" s="60"/>
      <c r="J402" s="60">
        <f>Table5[[#This Row],[العدد]]*Table5[[#This Row],[الفئة]]</f>
        <v>0</v>
      </c>
      <c r="K40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2" s="60">
        <f>Table5[[#This Row],[الاجمالي]]</f>
        <v>0</v>
      </c>
      <c r="M402" s="60">
        <f>Table5[[#This Row],[الاجمالي]]-Table5[[#This Row],[المبلغ المدفوع]]</f>
        <v>0</v>
      </c>
      <c r="N402" s="60"/>
    </row>
    <row r="403" spans="1:14" hidden="1" x14ac:dyDescent="0.3">
      <c r="A403" s="52">
        <f t="shared" si="4"/>
        <v>400</v>
      </c>
      <c r="B403" s="74" t="s">
        <v>113</v>
      </c>
      <c r="C403" s="75">
        <v>45314</v>
      </c>
      <c r="D403" s="74">
        <v>335</v>
      </c>
      <c r="E403" s="60">
        <v>59</v>
      </c>
      <c r="F403" s="76">
        <v>5</v>
      </c>
      <c r="G403" s="60">
        <v>40</v>
      </c>
      <c r="H403" s="60"/>
      <c r="I403" s="60"/>
      <c r="J403" s="60">
        <f>Table5[[#This Row],[العدد]]*Table5[[#This Row],[الفئة]]</f>
        <v>295</v>
      </c>
      <c r="K40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11800</v>
      </c>
      <c r="L403" s="60">
        <v>11800</v>
      </c>
      <c r="M403" s="60">
        <f>Table5[[#This Row],[الاجمالي]]-Table5[[#This Row],[المبلغ المدفوع]]</f>
        <v>0</v>
      </c>
      <c r="N403" s="60"/>
    </row>
    <row r="404" spans="1:14" hidden="1" x14ac:dyDescent="0.3">
      <c r="A404" s="52">
        <f t="shared" si="4"/>
        <v>401</v>
      </c>
      <c r="B404" s="74"/>
      <c r="C404" s="75"/>
      <c r="D404" s="74"/>
      <c r="E404" s="60"/>
      <c r="F404" s="76"/>
      <c r="G404" s="60"/>
      <c r="H404" s="60"/>
      <c r="I404" s="60"/>
      <c r="J404" s="60">
        <f>Table5[[#This Row],[العدد]]*Table5[[#This Row],[الفئة]]</f>
        <v>0</v>
      </c>
      <c r="K40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4" s="60"/>
      <c r="M404" s="60">
        <f>Table5[[#This Row],[الاجمالي]]-Table5[[#This Row],[المبلغ المدفوع]]</f>
        <v>0</v>
      </c>
      <c r="N404" s="60"/>
    </row>
    <row r="405" spans="1:14" hidden="1" x14ac:dyDescent="0.3">
      <c r="A405" s="52">
        <f t="shared" si="4"/>
        <v>402</v>
      </c>
      <c r="B405" s="74" t="s">
        <v>75</v>
      </c>
      <c r="C405" s="75">
        <v>45319</v>
      </c>
      <c r="D405" s="74">
        <v>336</v>
      </c>
      <c r="E405" s="60">
        <v>35</v>
      </c>
      <c r="F405" s="76"/>
      <c r="G405" s="60"/>
      <c r="H405" s="60"/>
      <c r="I405" s="60"/>
      <c r="J405" s="60">
        <f>Table5[[#This Row],[العدد]]*Table5[[#This Row],[الفئة]]</f>
        <v>0</v>
      </c>
      <c r="K40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5" s="60"/>
      <c r="M405" s="60">
        <f>Table5[[#This Row],[الاجمالي]]-Table5[[#This Row],[المبلغ المدفوع]]</f>
        <v>0</v>
      </c>
      <c r="N405" s="60"/>
    </row>
    <row r="406" spans="1:14" hidden="1" x14ac:dyDescent="0.3">
      <c r="A406" s="52">
        <f t="shared" si="4"/>
        <v>403</v>
      </c>
      <c r="B406" s="74" t="s">
        <v>75</v>
      </c>
      <c r="C406" s="75">
        <v>45322</v>
      </c>
      <c r="D406" s="74">
        <v>336</v>
      </c>
      <c r="E406" s="60">
        <v>63</v>
      </c>
      <c r="F406" s="76"/>
      <c r="G406" s="60"/>
      <c r="H406" s="60"/>
      <c r="I406" s="60"/>
      <c r="J406" s="60">
        <f>Table5[[#This Row],[العدد]]*Table5[[#This Row],[الفئة]]</f>
        <v>0</v>
      </c>
      <c r="K40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6" s="60"/>
      <c r="M406" s="60">
        <f>Table5[[#This Row],[الاجمالي]]-Table5[[#This Row],[المبلغ المدفوع]]</f>
        <v>0</v>
      </c>
      <c r="N406" s="60"/>
    </row>
    <row r="407" spans="1:14" hidden="1" x14ac:dyDescent="0.3">
      <c r="A407" s="52">
        <f t="shared" si="4"/>
        <v>404</v>
      </c>
      <c r="B407" s="74" t="s">
        <v>75</v>
      </c>
      <c r="C407" s="75">
        <v>45308</v>
      </c>
      <c r="D407" s="74">
        <v>336</v>
      </c>
      <c r="E407" s="60">
        <v>8</v>
      </c>
      <c r="F407" s="76"/>
      <c r="G407" s="60"/>
      <c r="H407" s="60"/>
      <c r="I407" s="60"/>
      <c r="J407" s="60">
        <f>Table5[[#This Row],[العدد]]*Table5[[#This Row],[الفئة]]</f>
        <v>0</v>
      </c>
      <c r="K40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7" s="60"/>
      <c r="M407" s="60">
        <f>Table5[[#This Row],[الاجمالي]]-Table5[[#This Row],[المبلغ المدفوع]]</f>
        <v>0</v>
      </c>
      <c r="N407" s="60"/>
    </row>
    <row r="408" spans="1:14" hidden="1" x14ac:dyDescent="0.3">
      <c r="A408" s="52">
        <f t="shared" si="4"/>
        <v>405</v>
      </c>
      <c r="B408" s="74" t="s">
        <v>75</v>
      </c>
      <c r="C408" s="75">
        <v>45342</v>
      </c>
      <c r="D408" s="74">
        <v>336</v>
      </c>
      <c r="E408" s="60">
        <v>19</v>
      </c>
      <c r="F408" s="76"/>
      <c r="G408" s="60"/>
      <c r="H408" s="60"/>
      <c r="I408" s="60"/>
      <c r="J408" s="60">
        <f>Table5[[#This Row],[العدد]]*Table5[[#This Row],[الفئة]]</f>
        <v>0</v>
      </c>
      <c r="K40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8" s="60"/>
      <c r="M408" s="60">
        <f>Table5[[#This Row],[الاجمالي]]-Table5[[#This Row],[المبلغ المدفوع]]</f>
        <v>0</v>
      </c>
      <c r="N408" s="60"/>
    </row>
    <row r="409" spans="1:14" hidden="1" x14ac:dyDescent="0.3">
      <c r="A409" s="52">
        <f t="shared" si="4"/>
        <v>406</v>
      </c>
      <c r="B409" s="74" t="s">
        <v>75</v>
      </c>
      <c r="C409" s="75">
        <v>45345</v>
      </c>
      <c r="D409" s="74">
        <v>336</v>
      </c>
      <c r="E409" s="60">
        <v>4</v>
      </c>
      <c r="F409" s="76"/>
      <c r="G409" s="60"/>
      <c r="H409" s="60"/>
      <c r="I409" s="60"/>
      <c r="J409" s="60">
        <f>Table5[[#This Row],[العدد]]*Table5[[#This Row],[الفئة]]</f>
        <v>0</v>
      </c>
      <c r="K40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09" s="60"/>
      <c r="M409" s="60">
        <f>Table5[[#This Row],[الاجمالي]]-Table5[[#This Row],[المبلغ المدفوع]]</f>
        <v>0</v>
      </c>
      <c r="N409" s="60"/>
    </row>
    <row r="410" spans="1:14" hidden="1" x14ac:dyDescent="0.3">
      <c r="A410" s="52">
        <f t="shared" si="4"/>
        <v>407</v>
      </c>
      <c r="B410" s="74"/>
      <c r="C410" s="75"/>
      <c r="D410" s="74"/>
      <c r="E410" s="60"/>
      <c r="F410" s="76"/>
      <c r="G410" s="60"/>
      <c r="H410" s="60"/>
      <c r="I410" s="60"/>
      <c r="J410" s="60">
        <f>Table5[[#This Row],[العدد]]*Table5[[#This Row],[الفئة]]</f>
        <v>0</v>
      </c>
      <c r="K41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0" s="60"/>
      <c r="M410" s="60">
        <f>Table5[[#This Row],[الاجمالي]]-Table5[[#This Row],[المبلغ المدفوع]]</f>
        <v>0</v>
      </c>
      <c r="N410" s="60"/>
    </row>
    <row r="411" spans="1:14" hidden="1" x14ac:dyDescent="0.3">
      <c r="A411" s="52">
        <f t="shared" si="4"/>
        <v>408</v>
      </c>
      <c r="B411" s="74" t="s">
        <v>49</v>
      </c>
      <c r="C411" s="75">
        <v>45319</v>
      </c>
      <c r="D411" s="74">
        <v>337</v>
      </c>
      <c r="E411" s="60">
        <v>30</v>
      </c>
      <c r="F411" s="76"/>
      <c r="G411" s="60"/>
      <c r="H411" s="60"/>
      <c r="I411" s="60"/>
      <c r="J411" s="60">
        <f>Table5[[#This Row],[العدد]]*Table5[[#This Row],[الفئة]]</f>
        <v>0</v>
      </c>
      <c r="K41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1" s="60"/>
      <c r="M411" s="60">
        <f>Table5[[#This Row],[الاجمالي]]-Table5[[#This Row],[المبلغ المدفوع]]</f>
        <v>0</v>
      </c>
      <c r="N411" s="60"/>
    </row>
    <row r="412" spans="1:14" hidden="1" x14ac:dyDescent="0.3">
      <c r="A412" s="52">
        <f t="shared" si="4"/>
        <v>409</v>
      </c>
      <c r="B412" s="74" t="s">
        <v>49</v>
      </c>
      <c r="C412" s="75">
        <v>45321</v>
      </c>
      <c r="D412" s="74">
        <v>337</v>
      </c>
      <c r="E412" s="60">
        <v>5</v>
      </c>
      <c r="F412" s="76"/>
      <c r="G412" s="60"/>
      <c r="H412" s="60"/>
      <c r="I412" s="60"/>
      <c r="J412" s="60">
        <f>Table5[[#This Row],[العدد]]*Table5[[#This Row],[الفئة]]</f>
        <v>0</v>
      </c>
      <c r="K41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2" s="60"/>
      <c r="M412" s="60">
        <f>Table5[[#This Row],[الاجمالي]]-Table5[[#This Row],[المبلغ المدفوع]]</f>
        <v>0</v>
      </c>
      <c r="N412" s="60"/>
    </row>
    <row r="413" spans="1:14" hidden="1" x14ac:dyDescent="0.3">
      <c r="A413" s="52">
        <f t="shared" si="4"/>
        <v>410</v>
      </c>
      <c r="B413" s="74" t="s">
        <v>49</v>
      </c>
      <c r="C413" s="75">
        <v>45330</v>
      </c>
      <c r="D413" s="74">
        <v>337</v>
      </c>
      <c r="E413" s="60">
        <v>13</v>
      </c>
      <c r="F413" s="76"/>
      <c r="G413" s="60"/>
      <c r="H413" s="60"/>
      <c r="I413" s="60"/>
      <c r="J413" s="60">
        <f>Table5[[#This Row],[العدد]]*Table5[[#This Row],[الفئة]]</f>
        <v>0</v>
      </c>
      <c r="K41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3" s="60"/>
      <c r="M413" s="60">
        <f>Table5[[#This Row],[الاجمالي]]-Table5[[#This Row],[المبلغ المدفوع]]</f>
        <v>0</v>
      </c>
      <c r="N413" s="60"/>
    </row>
    <row r="414" spans="1:14" hidden="1" x14ac:dyDescent="0.3">
      <c r="A414" s="52">
        <f t="shared" si="4"/>
        <v>411</v>
      </c>
      <c r="B414" s="74" t="s">
        <v>49</v>
      </c>
      <c r="C414" s="75">
        <v>45330</v>
      </c>
      <c r="D414" s="74">
        <v>337</v>
      </c>
      <c r="E414" s="60">
        <v>30</v>
      </c>
      <c r="F414" s="76"/>
      <c r="G414" s="60"/>
      <c r="H414" s="60"/>
      <c r="I414" s="60"/>
      <c r="J414" s="60">
        <f>Table5[[#This Row],[العدد]]*Table5[[#This Row],[الفئة]]</f>
        <v>0</v>
      </c>
      <c r="K41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4" s="60"/>
      <c r="M414" s="60">
        <f>Table5[[#This Row],[الاجمالي]]-Table5[[#This Row],[المبلغ المدفوع]]</f>
        <v>0</v>
      </c>
      <c r="N414" s="60"/>
    </row>
    <row r="415" spans="1:14" hidden="1" x14ac:dyDescent="0.3">
      <c r="A415" s="52">
        <f t="shared" si="4"/>
        <v>412</v>
      </c>
      <c r="B415" s="74" t="s">
        <v>49</v>
      </c>
      <c r="C415" s="75">
        <v>45339</v>
      </c>
      <c r="D415" s="74">
        <v>337</v>
      </c>
      <c r="E415" s="60">
        <v>7</v>
      </c>
      <c r="F415" s="76"/>
      <c r="G415" s="60"/>
      <c r="H415" s="60"/>
      <c r="I415" s="60"/>
      <c r="J415" s="60">
        <f>Table5[[#This Row],[العدد]]*Table5[[#This Row],[الفئة]]</f>
        <v>0</v>
      </c>
      <c r="K41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5" s="60"/>
      <c r="M415" s="60">
        <f>Table5[[#This Row],[الاجمالي]]-Table5[[#This Row],[المبلغ المدفوع]]</f>
        <v>0</v>
      </c>
      <c r="N415" s="60"/>
    </row>
    <row r="416" spans="1:14" hidden="1" x14ac:dyDescent="0.3">
      <c r="A416" s="52">
        <f t="shared" si="4"/>
        <v>413</v>
      </c>
      <c r="B416" s="74" t="s">
        <v>49</v>
      </c>
      <c r="C416" s="75">
        <v>45339</v>
      </c>
      <c r="D416" s="74">
        <v>337</v>
      </c>
      <c r="E416" s="60">
        <v>5</v>
      </c>
      <c r="F416" s="76"/>
      <c r="G416" s="60"/>
      <c r="H416" s="60"/>
      <c r="I416" s="60"/>
      <c r="J416" s="60">
        <f>Table5[[#This Row],[العدد]]*Table5[[#This Row],[الفئة]]</f>
        <v>0</v>
      </c>
      <c r="K41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6" s="60"/>
      <c r="M416" s="60">
        <f>Table5[[#This Row],[الاجمالي]]-Table5[[#This Row],[المبلغ المدفوع]]</f>
        <v>0</v>
      </c>
      <c r="N416" s="60"/>
    </row>
    <row r="417" spans="1:14" hidden="1" x14ac:dyDescent="0.3">
      <c r="A417" s="52">
        <f t="shared" si="4"/>
        <v>414</v>
      </c>
      <c r="B417" s="74"/>
      <c r="C417" s="75"/>
      <c r="D417" s="74"/>
      <c r="E417" s="60"/>
      <c r="F417" s="76"/>
      <c r="G417" s="60"/>
      <c r="H417" s="60"/>
      <c r="I417" s="60"/>
      <c r="J417" s="60">
        <f>Table5[[#This Row],[العدد]]*Table5[[#This Row],[الفئة]]</f>
        <v>0</v>
      </c>
      <c r="K41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7" s="60"/>
      <c r="M417" s="60">
        <f>Table5[[#This Row],[الاجمالي]]-Table5[[#This Row],[المبلغ المدفوع]]</f>
        <v>0</v>
      </c>
      <c r="N417" s="60"/>
    </row>
    <row r="418" spans="1:14" hidden="1" x14ac:dyDescent="0.3">
      <c r="A418" s="52">
        <f t="shared" si="4"/>
        <v>415</v>
      </c>
      <c r="B418" s="74" t="s">
        <v>124</v>
      </c>
      <c r="C418" s="75">
        <v>45319</v>
      </c>
      <c r="D418" s="74">
        <v>338</v>
      </c>
      <c r="E418" s="60">
        <v>33</v>
      </c>
      <c r="F418" s="76"/>
      <c r="G418" s="60"/>
      <c r="H418" s="60"/>
      <c r="I418" s="60"/>
      <c r="J418" s="60">
        <f>Table5[[#This Row],[العدد]]*Table5[[#This Row],[الفئة]]</f>
        <v>0</v>
      </c>
      <c r="K41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8" s="60"/>
      <c r="M418" s="60">
        <f>Table5[[#This Row],[الاجمالي]]-Table5[[#This Row],[المبلغ المدفوع]]</f>
        <v>0</v>
      </c>
      <c r="N418" s="60"/>
    </row>
    <row r="419" spans="1:14" hidden="1" x14ac:dyDescent="0.3">
      <c r="A419" s="52">
        <f t="shared" si="4"/>
        <v>416</v>
      </c>
      <c r="B419" s="74" t="s">
        <v>124</v>
      </c>
      <c r="C419" s="75">
        <v>45337</v>
      </c>
      <c r="D419" s="74">
        <v>338</v>
      </c>
      <c r="E419" s="60">
        <v>40</v>
      </c>
      <c r="F419" s="76"/>
      <c r="G419" s="60"/>
      <c r="H419" s="60"/>
      <c r="I419" s="60"/>
      <c r="J419" s="60">
        <f>Table5[[#This Row],[العدد]]*Table5[[#This Row],[الفئة]]</f>
        <v>0</v>
      </c>
      <c r="K41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19" s="60"/>
      <c r="M419" s="60">
        <f>Table5[[#This Row],[الاجمالي]]-Table5[[#This Row],[المبلغ المدفوع]]</f>
        <v>0</v>
      </c>
      <c r="N419" s="60"/>
    </row>
    <row r="420" spans="1:14" hidden="1" x14ac:dyDescent="0.3">
      <c r="A420" s="52">
        <f t="shared" si="4"/>
        <v>417</v>
      </c>
      <c r="B420" s="74" t="s">
        <v>124</v>
      </c>
      <c r="C420" s="75">
        <v>45339</v>
      </c>
      <c r="D420" s="74">
        <v>338</v>
      </c>
      <c r="E420" s="60">
        <v>9</v>
      </c>
      <c r="F420" s="76"/>
      <c r="G420" s="60"/>
      <c r="H420" s="60"/>
      <c r="I420" s="60"/>
      <c r="J420" s="60">
        <f>Table5[[#This Row],[العدد]]*Table5[[#This Row],[الفئة]]</f>
        <v>0</v>
      </c>
      <c r="K42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0" s="60"/>
      <c r="M420" s="60">
        <f>Table5[[#This Row],[الاجمالي]]-Table5[[#This Row],[المبلغ المدفوع]]</f>
        <v>0</v>
      </c>
      <c r="N420" s="60"/>
    </row>
    <row r="421" spans="1:14" hidden="1" x14ac:dyDescent="0.3">
      <c r="A421" s="52">
        <f t="shared" si="4"/>
        <v>418</v>
      </c>
      <c r="B421" s="74" t="s">
        <v>124</v>
      </c>
      <c r="C421" s="75">
        <v>45342</v>
      </c>
      <c r="D421" s="74">
        <v>338</v>
      </c>
      <c r="E421" s="60">
        <v>17</v>
      </c>
      <c r="F421" s="76"/>
      <c r="G421" s="60"/>
      <c r="H421" s="60"/>
      <c r="I421" s="60"/>
      <c r="J421" s="60">
        <f>Table5[[#This Row],[العدد]]*Table5[[#This Row],[الفئة]]</f>
        <v>0</v>
      </c>
      <c r="K42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1" s="60"/>
      <c r="M421" s="60">
        <f>Table5[[#This Row],[الاجمالي]]-Table5[[#This Row],[المبلغ المدفوع]]</f>
        <v>0</v>
      </c>
      <c r="N421" s="60"/>
    </row>
    <row r="422" spans="1:14" hidden="1" x14ac:dyDescent="0.3">
      <c r="A422" s="52">
        <f t="shared" si="4"/>
        <v>419</v>
      </c>
      <c r="B422" s="74" t="s">
        <v>124</v>
      </c>
      <c r="C422" s="75">
        <v>45342</v>
      </c>
      <c r="D422" s="74">
        <v>338</v>
      </c>
      <c r="E422" s="60">
        <v>30</v>
      </c>
      <c r="F422" s="76"/>
      <c r="G422" s="60"/>
      <c r="H422" s="60"/>
      <c r="I422" s="60"/>
      <c r="J422" s="60">
        <f>Table5[[#This Row],[العدد]]*Table5[[#This Row],[الفئة]]</f>
        <v>0</v>
      </c>
      <c r="K42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2" s="60"/>
      <c r="M422" s="60">
        <f>Table5[[#This Row],[الاجمالي]]-Table5[[#This Row],[المبلغ المدفوع]]</f>
        <v>0</v>
      </c>
      <c r="N422" s="60"/>
    </row>
    <row r="423" spans="1:14" hidden="1" x14ac:dyDescent="0.3">
      <c r="A423" s="52">
        <f t="shared" si="4"/>
        <v>420</v>
      </c>
      <c r="B423" s="74"/>
      <c r="C423" s="75"/>
      <c r="D423" s="74"/>
      <c r="E423" s="60"/>
      <c r="F423" s="76"/>
      <c r="G423" s="60"/>
      <c r="H423" s="60"/>
      <c r="I423" s="60"/>
      <c r="J423" s="60">
        <f>Table5[[#This Row],[العدد]]*Table5[[#This Row],[الفئة]]</f>
        <v>0</v>
      </c>
      <c r="K42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3" s="60"/>
      <c r="M423" s="60">
        <f>Table5[[#This Row],[الاجمالي]]-Table5[[#This Row],[المبلغ المدفوع]]</f>
        <v>0</v>
      </c>
      <c r="N423" s="60"/>
    </row>
    <row r="424" spans="1:14" hidden="1" x14ac:dyDescent="0.3">
      <c r="A424" s="52">
        <f t="shared" si="4"/>
        <v>421</v>
      </c>
      <c r="B424" s="74" t="s">
        <v>73</v>
      </c>
      <c r="C424" s="75">
        <v>45342</v>
      </c>
      <c r="D424" s="74">
        <v>339</v>
      </c>
      <c r="E424" s="60">
        <v>15</v>
      </c>
      <c r="F424" s="76">
        <v>1</v>
      </c>
      <c r="G424" s="60">
        <v>40</v>
      </c>
      <c r="H424" s="60"/>
      <c r="I424" s="60"/>
      <c r="J424" s="60">
        <f>Table5[[#This Row],[العدد]]*Table5[[#This Row],[الفئة]]</f>
        <v>15</v>
      </c>
      <c r="K42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600</v>
      </c>
      <c r="L424" s="60"/>
      <c r="M424" s="60">
        <f>Table5[[#This Row],[الاجمالي]]-Table5[[#This Row],[المبلغ المدفوع]]</f>
        <v>600</v>
      </c>
      <c r="N424" s="60"/>
    </row>
    <row r="425" spans="1:14" hidden="1" x14ac:dyDescent="0.3">
      <c r="A425" s="52">
        <f t="shared" si="4"/>
        <v>422</v>
      </c>
      <c r="B425" s="74"/>
      <c r="C425" s="75"/>
      <c r="D425" s="74"/>
      <c r="E425" s="60"/>
      <c r="F425" s="76"/>
      <c r="G425" s="60"/>
      <c r="H425" s="60"/>
      <c r="I425" s="60"/>
      <c r="J425" s="60">
        <f>Table5[[#This Row],[العدد]]*Table5[[#This Row],[الفئة]]</f>
        <v>0</v>
      </c>
      <c r="K42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5" s="60"/>
      <c r="M425" s="60">
        <f>Table5[[#This Row],[الاجمالي]]-Table5[[#This Row],[المبلغ المدفوع]]</f>
        <v>0</v>
      </c>
      <c r="N425" s="60"/>
    </row>
    <row r="426" spans="1:14" hidden="1" x14ac:dyDescent="0.3">
      <c r="A426" s="52">
        <f t="shared" si="4"/>
        <v>423</v>
      </c>
      <c r="B426" s="74" t="s">
        <v>76</v>
      </c>
      <c r="C426" s="75">
        <v>45342</v>
      </c>
      <c r="D426" s="74">
        <v>340</v>
      </c>
      <c r="E426" s="60">
        <v>5</v>
      </c>
      <c r="F426" s="76"/>
      <c r="G426" s="60"/>
      <c r="H426" s="60"/>
      <c r="I426" s="60"/>
      <c r="J426" s="60">
        <f>Table5[[#This Row],[العدد]]*Table5[[#This Row],[الفئة]]</f>
        <v>0</v>
      </c>
      <c r="K42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6" s="60"/>
      <c r="M426" s="60">
        <f>Table5[[#This Row],[الاجمالي]]-Table5[[#This Row],[المبلغ المدفوع]]</f>
        <v>0</v>
      </c>
      <c r="N426" s="60"/>
    </row>
    <row r="427" spans="1:14" hidden="1" x14ac:dyDescent="0.3">
      <c r="A427" s="52">
        <f t="shared" si="4"/>
        <v>424</v>
      </c>
      <c r="B427" s="74" t="s">
        <v>76</v>
      </c>
      <c r="C427" s="75">
        <v>45342</v>
      </c>
      <c r="D427" s="74">
        <v>340</v>
      </c>
      <c r="E427" s="60">
        <v>2</v>
      </c>
      <c r="F427" s="76"/>
      <c r="G427" s="60"/>
      <c r="H427" s="60"/>
      <c r="I427" s="60"/>
      <c r="J427" s="60">
        <f>Table5[[#This Row],[العدد]]*Table5[[#This Row],[الفئة]]</f>
        <v>0</v>
      </c>
      <c r="K42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7" s="60"/>
      <c r="M427" s="60">
        <f>Table5[[#This Row],[الاجمالي]]-Table5[[#This Row],[المبلغ المدفوع]]</f>
        <v>0</v>
      </c>
      <c r="N427" s="60"/>
    </row>
    <row r="428" spans="1:14" hidden="1" x14ac:dyDescent="0.3">
      <c r="A428" s="52">
        <f t="shared" si="4"/>
        <v>425</v>
      </c>
      <c r="B428" s="74"/>
      <c r="C428" s="75"/>
      <c r="D428" s="74"/>
      <c r="E428" s="60"/>
      <c r="F428" s="76"/>
      <c r="G428" s="60"/>
      <c r="H428" s="60"/>
      <c r="I428" s="60"/>
      <c r="J428" s="60">
        <f>Table5[[#This Row],[العدد]]*Table5[[#This Row],[الفئة]]</f>
        <v>0</v>
      </c>
      <c r="K42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28" s="60"/>
      <c r="M428" s="60">
        <f>Table5[[#This Row],[الاجمالي]]-Table5[[#This Row],[المبلغ المدفوع]]</f>
        <v>0</v>
      </c>
      <c r="N428" s="60"/>
    </row>
    <row r="429" spans="1:14" hidden="1" x14ac:dyDescent="0.3">
      <c r="A429" s="52">
        <f t="shared" si="4"/>
        <v>426</v>
      </c>
      <c r="B429" s="74" t="s">
        <v>31</v>
      </c>
      <c r="C429" s="75">
        <v>45347</v>
      </c>
      <c r="D429" s="74">
        <v>341</v>
      </c>
      <c r="E429" s="60">
        <v>1</v>
      </c>
      <c r="F429" s="76">
        <v>5</v>
      </c>
      <c r="G429" s="60">
        <v>40</v>
      </c>
      <c r="H429" s="60"/>
      <c r="I429" s="60"/>
      <c r="J429" s="60">
        <f>Table5[[#This Row],[العدد]]*Table5[[#This Row],[الفئة]]</f>
        <v>5</v>
      </c>
      <c r="K42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</v>
      </c>
      <c r="L429" s="60">
        <f>Table5[[#This Row],[الاجمالي]]</f>
        <v>200</v>
      </c>
      <c r="M429" s="60">
        <f>Table5[[#This Row],[الاجمالي]]-Table5[[#This Row],[المبلغ المدفوع]]</f>
        <v>0</v>
      </c>
      <c r="N429" s="60"/>
    </row>
    <row r="430" spans="1:14" hidden="1" x14ac:dyDescent="0.3">
      <c r="A430" s="52">
        <f t="shared" si="4"/>
        <v>427</v>
      </c>
      <c r="B430" s="74" t="s">
        <v>31</v>
      </c>
      <c r="C430" s="75">
        <v>45347</v>
      </c>
      <c r="D430" s="74">
        <v>341</v>
      </c>
      <c r="E430" s="60">
        <v>3</v>
      </c>
      <c r="F430" s="76">
        <v>5</v>
      </c>
      <c r="G430" s="60">
        <v>45</v>
      </c>
      <c r="H430" s="60"/>
      <c r="I430" s="60"/>
      <c r="J430" s="60">
        <f>Table5[[#This Row],[العدد]]*Table5[[#This Row],[الفئة]]</f>
        <v>15</v>
      </c>
      <c r="K43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675</v>
      </c>
      <c r="L430" s="60">
        <f>Table5[[#This Row],[الاجمالي]]</f>
        <v>675</v>
      </c>
      <c r="M430" s="60">
        <f>Table5[[#This Row],[الاجمالي]]-Table5[[#This Row],[المبلغ المدفوع]]</f>
        <v>0</v>
      </c>
      <c r="N430" s="60"/>
    </row>
    <row r="431" spans="1:14" hidden="1" x14ac:dyDescent="0.3">
      <c r="A431" s="52">
        <f t="shared" si="4"/>
        <v>428</v>
      </c>
      <c r="B431" s="74"/>
      <c r="C431" s="75"/>
      <c r="D431" s="74"/>
      <c r="E431" s="60"/>
      <c r="F431" s="76"/>
      <c r="G431" s="60"/>
      <c r="H431" s="60"/>
      <c r="I431" s="60"/>
      <c r="J431" s="60">
        <f>Table5[[#This Row],[العدد]]*Table5[[#This Row],[الفئة]]</f>
        <v>0</v>
      </c>
      <c r="K43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31" s="60"/>
      <c r="M431" s="60">
        <f>Table5[[#This Row],[الاجمالي]]-Table5[[#This Row],[المبلغ المدفوع]]</f>
        <v>0</v>
      </c>
      <c r="N431" s="60"/>
    </row>
    <row r="432" spans="1:14" hidden="1" x14ac:dyDescent="0.3">
      <c r="A432" s="52">
        <f t="shared" si="4"/>
        <v>429</v>
      </c>
      <c r="B432" s="74" t="s">
        <v>125</v>
      </c>
      <c r="C432" s="75">
        <v>45306</v>
      </c>
      <c r="D432" s="74">
        <v>342</v>
      </c>
      <c r="E432" s="60">
        <v>17</v>
      </c>
      <c r="F432" s="76">
        <v>5</v>
      </c>
      <c r="G432" s="77">
        <v>42</v>
      </c>
      <c r="H432" s="60"/>
      <c r="I432" s="60"/>
      <c r="J432" s="60">
        <f>Table5[[#This Row],[العدد]]*Table5[[#This Row],[الفئة]]</f>
        <v>85</v>
      </c>
      <c r="K43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3570</v>
      </c>
      <c r="L432" s="60"/>
      <c r="M432" s="60">
        <f>Table5[[#This Row],[الاجمالي]]-Table5[[#This Row],[المبلغ المدفوع]]</f>
        <v>3570</v>
      </c>
      <c r="N432" s="60"/>
    </row>
    <row r="433" spans="1:14" hidden="1" x14ac:dyDescent="0.3">
      <c r="A433" s="52">
        <f t="shared" si="4"/>
        <v>430</v>
      </c>
      <c r="B433" s="74" t="s">
        <v>125</v>
      </c>
      <c r="C433" s="75">
        <v>45306</v>
      </c>
      <c r="D433" s="74">
        <v>342</v>
      </c>
      <c r="E433" s="60">
        <v>40</v>
      </c>
      <c r="F433" s="76">
        <v>1</v>
      </c>
      <c r="G433" s="60">
        <v>42</v>
      </c>
      <c r="H433" s="60"/>
      <c r="I433" s="60"/>
      <c r="J433" s="60">
        <f>Table5[[#This Row],[العدد]]*Table5[[#This Row],[الفئة]]</f>
        <v>40</v>
      </c>
      <c r="K43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1680</v>
      </c>
      <c r="L433" s="60"/>
      <c r="M433" s="60">
        <f>Table5[[#This Row],[الاجمالي]]-Table5[[#This Row],[المبلغ المدفوع]]</f>
        <v>1680</v>
      </c>
      <c r="N433" s="60"/>
    </row>
    <row r="434" spans="1:14" hidden="1" x14ac:dyDescent="0.3">
      <c r="A434" s="52">
        <f t="shared" si="4"/>
        <v>431</v>
      </c>
      <c r="B434" s="74"/>
      <c r="C434" s="75"/>
      <c r="D434" s="74"/>
      <c r="E434" s="60"/>
      <c r="F434" s="76"/>
      <c r="G434" s="60"/>
      <c r="H434" s="60"/>
      <c r="I434" s="60"/>
      <c r="J434" s="60">
        <f>Table5[[#This Row],[العدد]]*Table5[[#This Row],[الفئة]]</f>
        <v>0</v>
      </c>
      <c r="K43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34" s="60"/>
      <c r="M434" s="60">
        <f>Table5[[#This Row],[الاجمالي]]-Table5[[#This Row],[المبلغ المدفوع]]</f>
        <v>0</v>
      </c>
      <c r="N434" s="60"/>
    </row>
    <row r="435" spans="1:14" hidden="1" x14ac:dyDescent="0.3">
      <c r="A435" s="52">
        <f t="shared" si="4"/>
        <v>432</v>
      </c>
      <c r="B435" s="74" t="s">
        <v>126</v>
      </c>
      <c r="C435" s="75">
        <v>45306</v>
      </c>
      <c r="D435" s="74">
        <v>343</v>
      </c>
      <c r="E435" s="60">
        <v>20</v>
      </c>
      <c r="F435" s="76">
        <v>5</v>
      </c>
      <c r="G435" s="60">
        <v>40</v>
      </c>
      <c r="H435" s="60"/>
      <c r="I435" s="60"/>
      <c r="J435" s="60">
        <f>Table5[[#This Row],[العدد]]*Table5[[#This Row],[الفئة]]</f>
        <v>100</v>
      </c>
      <c r="K43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435" s="60"/>
      <c r="M435" s="60">
        <f>Table5[[#This Row],[الاجمالي]]-Table5[[#This Row],[المبلغ المدفوع]]</f>
        <v>4000</v>
      </c>
      <c r="N435" s="60"/>
    </row>
    <row r="436" spans="1:14" hidden="1" x14ac:dyDescent="0.3">
      <c r="A436" s="52">
        <f t="shared" si="4"/>
        <v>433</v>
      </c>
      <c r="B436" s="74" t="s">
        <v>126</v>
      </c>
      <c r="C436" s="75">
        <v>45306</v>
      </c>
      <c r="D436" s="74">
        <v>343</v>
      </c>
      <c r="E436" s="60">
        <v>20</v>
      </c>
      <c r="F436" s="76">
        <v>1.6</v>
      </c>
      <c r="G436" s="60">
        <v>38</v>
      </c>
      <c r="H436" s="60"/>
      <c r="I436" s="60"/>
      <c r="J436" s="60">
        <f>Table5[[#This Row],[العدد]]*Table5[[#This Row],[الفئة]]</f>
        <v>32</v>
      </c>
      <c r="K43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436" s="60"/>
      <c r="M436" s="60">
        <f>Table5[[#This Row],[الاجمالي]]-Table5[[#This Row],[المبلغ المدفوع]]</f>
        <v>1520</v>
      </c>
      <c r="N436" s="60"/>
    </row>
    <row r="437" spans="1:14" hidden="1" x14ac:dyDescent="0.3">
      <c r="A437" s="52">
        <f t="shared" si="4"/>
        <v>434</v>
      </c>
      <c r="B437" s="74" t="s">
        <v>126</v>
      </c>
      <c r="C437" s="75">
        <v>45306</v>
      </c>
      <c r="D437" s="74">
        <v>343</v>
      </c>
      <c r="E437" s="60">
        <v>20</v>
      </c>
      <c r="F437" s="76">
        <v>0.8</v>
      </c>
      <c r="G437" s="60">
        <v>38</v>
      </c>
      <c r="H437" s="60"/>
      <c r="I437" s="60"/>
      <c r="J437" s="60">
        <f>Table5[[#This Row],[العدد]]*Table5[[#This Row],[الفئة]]</f>
        <v>16</v>
      </c>
      <c r="K43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437" s="60"/>
      <c r="M437" s="60">
        <f>Table5[[#This Row],[الاجمالي]]-Table5[[#This Row],[المبلغ المدفوع]]</f>
        <v>760</v>
      </c>
      <c r="N437" s="60"/>
    </row>
    <row r="438" spans="1:14" hidden="1" x14ac:dyDescent="0.3">
      <c r="A438" s="52">
        <f t="shared" si="4"/>
        <v>435</v>
      </c>
      <c r="B438" s="74"/>
      <c r="C438" s="75"/>
      <c r="D438" s="74"/>
      <c r="E438" s="60"/>
      <c r="F438" s="76"/>
      <c r="G438" s="60"/>
      <c r="H438" s="60"/>
      <c r="I438" s="60"/>
      <c r="J438" s="60">
        <f>Table5[[#This Row],[العدد]]*Table5[[#This Row],[الفئة]]</f>
        <v>0</v>
      </c>
      <c r="K43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38" s="60"/>
      <c r="M438" s="60">
        <f>Table5[[#This Row],[الاجمالي]]-Table5[[#This Row],[المبلغ المدفوع]]</f>
        <v>0</v>
      </c>
      <c r="N438" s="60"/>
    </row>
    <row r="439" spans="1:14" hidden="1" x14ac:dyDescent="0.3">
      <c r="A439" s="52">
        <f t="shared" si="4"/>
        <v>436</v>
      </c>
      <c r="B439" s="74" t="s">
        <v>127</v>
      </c>
      <c r="C439" s="75">
        <v>45344</v>
      </c>
      <c r="D439" s="74">
        <v>344</v>
      </c>
      <c r="E439" s="60">
        <v>100</v>
      </c>
      <c r="F439" s="76">
        <v>5</v>
      </c>
      <c r="G439" s="60">
        <v>40</v>
      </c>
      <c r="H439" s="60"/>
      <c r="I439" s="60"/>
      <c r="J439" s="60">
        <f>Table5[[#This Row],[العدد]]*Table5[[#This Row],[الفئة]]</f>
        <v>500</v>
      </c>
      <c r="K43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20000</v>
      </c>
      <c r="L439" s="60">
        <v>9000</v>
      </c>
      <c r="M439" s="60">
        <f>Table5[[#This Row],[الاجمالي]]-Table5[[#This Row],[المبلغ المدفوع]]</f>
        <v>11000</v>
      </c>
      <c r="N439" s="60"/>
    </row>
    <row r="440" spans="1:14" hidden="1" x14ac:dyDescent="0.3">
      <c r="A440" s="52">
        <f t="shared" si="4"/>
        <v>437</v>
      </c>
      <c r="B440" s="74"/>
      <c r="C440" s="75"/>
      <c r="D440" s="74"/>
      <c r="E440" s="60"/>
      <c r="F440" s="76"/>
      <c r="G440" s="60"/>
      <c r="H440" s="60"/>
      <c r="I440" s="60"/>
      <c r="J440" s="60">
        <f>Table5[[#This Row],[العدد]]*Table5[[#This Row],[الفئة]]</f>
        <v>0</v>
      </c>
      <c r="K44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40" s="60"/>
      <c r="M440" s="60">
        <f>Table5[[#This Row],[الاجمالي]]-Table5[[#This Row],[المبلغ المدفوع]]</f>
        <v>0</v>
      </c>
      <c r="N440" s="60"/>
    </row>
    <row r="441" spans="1:14" hidden="1" x14ac:dyDescent="0.3">
      <c r="A441" s="52">
        <f t="shared" si="4"/>
        <v>438</v>
      </c>
      <c r="B441" s="74" t="s">
        <v>128</v>
      </c>
      <c r="C441" s="75">
        <v>45347</v>
      </c>
      <c r="D441" s="74">
        <v>345</v>
      </c>
      <c r="E441" s="60">
        <v>25</v>
      </c>
      <c r="F441" s="76">
        <v>5</v>
      </c>
      <c r="G441" s="60">
        <v>40</v>
      </c>
      <c r="H441" s="60"/>
      <c r="I441" s="60"/>
      <c r="J441" s="60">
        <f>Table5[[#This Row],[العدد]]*Table5[[#This Row],[الفئة]]</f>
        <v>125</v>
      </c>
      <c r="K44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5000</v>
      </c>
      <c r="L441" s="60">
        <v>5000</v>
      </c>
      <c r="M441" s="60">
        <f>Table5[[#This Row],[الاجمالي]]-Table5[[#This Row],[المبلغ المدفوع]]</f>
        <v>0</v>
      </c>
      <c r="N441" s="60"/>
    </row>
    <row r="442" spans="1:14" hidden="1" x14ac:dyDescent="0.3">
      <c r="A442" s="52">
        <f t="shared" si="4"/>
        <v>439</v>
      </c>
      <c r="B442" s="74" t="s">
        <v>128</v>
      </c>
      <c r="C442" s="75">
        <v>45347</v>
      </c>
      <c r="D442" s="74">
        <v>345</v>
      </c>
      <c r="E442" s="60">
        <v>20</v>
      </c>
      <c r="F442" s="76">
        <v>0.8</v>
      </c>
      <c r="G442" s="60">
        <v>38</v>
      </c>
      <c r="H442" s="60"/>
      <c r="I442" s="60"/>
      <c r="J442" s="60">
        <f>Table5[[#This Row],[العدد]]*Table5[[#This Row],[الفئة]]</f>
        <v>16</v>
      </c>
      <c r="K44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442" s="60">
        <v>760</v>
      </c>
      <c r="M442" s="60">
        <f>Table5[[#This Row],[الاجمالي]]-Table5[[#This Row],[المبلغ المدفوع]]</f>
        <v>0</v>
      </c>
      <c r="N442" s="60"/>
    </row>
    <row r="443" spans="1:14" hidden="1" x14ac:dyDescent="0.3">
      <c r="A443" s="52">
        <f t="shared" si="4"/>
        <v>440</v>
      </c>
      <c r="B443" s="74"/>
      <c r="C443" s="75"/>
      <c r="D443" s="74"/>
      <c r="E443" s="60"/>
      <c r="F443" s="76"/>
      <c r="G443" s="60"/>
      <c r="H443" s="60"/>
      <c r="I443" s="60"/>
      <c r="J443" s="60">
        <f>Table5[[#This Row],[العدد]]*Table5[[#This Row],[الفئة]]</f>
        <v>0</v>
      </c>
      <c r="K44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43" s="60"/>
      <c r="M443" s="60">
        <f>Table5[[#This Row],[الاجمالي]]-Table5[[#This Row],[المبلغ المدفوع]]</f>
        <v>0</v>
      </c>
      <c r="N443" s="60"/>
    </row>
    <row r="444" spans="1:14" hidden="1" x14ac:dyDescent="0.3">
      <c r="A444" s="52">
        <f t="shared" si="4"/>
        <v>441</v>
      </c>
      <c r="B444" s="74" t="s">
        <v>112</v>
      </c>
      <c r="C444" s="75">
        <v>45349</v>
      </c>
      <c r="D444" s="74">
        <v>346</v>
      </c>
      <c r="E444" s="60">
        <v>120</v>
      </c>
      <c r="F444" s="76">
        <v>5</v>
      </c>
      <c r="G444" s="60">
        <v>40</v>
      </c>
      <c r="H444" s="60"/>
      <c r="I444" s="60"/>
      <c r="J444" s="60">
        <f>Table5[[#This Row],[العدد]]*Table5[[#This Row],[الفئة]]</f>
        <v>600</v>
      </c>
      <c r="K44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24000</v>
      </c>
      <c r="L444" s="60">
        <v>23000</v>
      </c>
      <c r="M444" s="60">
        <f>Table5[[#This Row],[الاجمالي]]-Table5[[#This Row],[المبلغ المدفوع]]</f>
        <v>1000</v>
      </c>
      <c r="N444" s="60"/>
    </row>
    <row r="445" spans="1:14" hidden="1" x14ac:dyDescent="0.3">
      <c r="A445" s="52">
        <f t="shared" si="4"/>
        <v>442</v>
      </c>
      <c r="B445" s="74" t="s">
        <v>112</v>
      </c>
      <c r="C445" s="75">
        <v>45349</v>
      </c>
      <c r="D445" s="74">
        <v>346</v>
      </c>
      <c r="E445" s="60">
        <v>150</v>
      </c>
      <c r="F445" s="76">
        <v>5</v>
      </c>
      <c r="G445" s="60">
        <v>40</v>
      </c>
      <c r="H445" s="60"/>
      <c r="I445" s="60"/>
      <c r="J445" s="60">
        <f>Table5[[#This Row],[العدد]]*Table5[[#This Row],[الفئة]]</f>
        <v>750</v>
      </c>
      <c r="K44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30000</v>
      </c>
      <c r="L445" s="60"/>
      <c r="M445" s="60">
        <f>Table5[[#This Row],[الاجمالي]]-Table5[[#This Row],[المبلغ المدفوع]]</f>
        <v>30000</v>
      </c>
      <c r="N445" s="60"/>
    </row>
    <row r="446" spans="1:14" hidden="1" x14ac:dyDescent="0.3">
      <c r="A446" s="52">
        <f t="shared" si="4"/>
        <v>443</v>
      </c>
      <c r="B446" s="74" t="s">
        <v>112</v>
      </c>
      <c r="C446" s="75">
        <v>45349</v>
      </c>
      <c r="D446" s="74">
        <v>346</v>
      </c>
      <c r="E446" s="60">
        <v>20</v>
      </c>
      <c r="F446" s="76">
        <v>0.8</v>
      </c>
      <c r="G446" s="60">
        <v>38</v>
      </c>
      <c r="H446" s="60"/>
      <c r="I446" s="60"/>
      <c r="J446" s="60">
        <f>Table5[[#This Row],[العدد]]*Table5[[#This Row],[الفئة]]</f>
        <v>16</v>
      </c>
      <c r="K44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</v>
      </c>
      <c r="L446" s="60"/>
      <c r="M446" s="60">
        <f>Table5[[#This Row],[الاجمالي]]-Table5[[#This Row],[المبلغ المدفوع]]</f>
        <v>760</v>
      </c>
      <c r="N446" s="60"/>
    </row>
    <row r="447" spans="1:14" hidden="1" x14ac:dyDescent="0.3">
      <c r="A447" s="52">
        <f t="shared" si="4"/>
        <v>444</v>
      </c>
      <c r="B447" s="74"/>
      <c r="C447" s="75"/>
      <c r="D447" s="74"/>
      <c r="E447" s="60"/>
      <c r="F447" s="76"/>
      <c r="G447" s="60"/>
      <c r="H447" s="60"/>
      <c r="I447" s="60"/>
      <c r="J447" s="60">
        <f>Table5[[#This Row],[العدد]]*Table5[[#This Row],[الفئة]]</f>
        <v>0</v>
      </c>
      <c r="K44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47" s="60"/>
      <c r="M447" s="60">
        <f>Table5[[#This Row],[الاجمالي]]-Table5[[#This Row],[المبلغ المدفوع]]</f>
        <v>0</v>
      </c>
      <c r="N447" s="60"/>
    </row>
    <row r="448" spans="1:14" hidden="1" x14ac:dyDescent="0.3">
      <c r="A448" s="52">
        <f t="shared" si="4"/>
        <v>445</v>
      </c>
      <c r="B448" s="74" t="s">
        <v>85</v>
      </c>
      <c r="C448" s="75">
        <v>45350</v>
      </c>
      <c r="D448" s="74">
        <v>347</v>
      </c>
      <c r="E448" s="60">
        <v>364</v>
      </c>
      <c r="F448" s="76">
        <v>5</v>
      </c>
      <c r="G448" s="60">
        <v>39</v>
      </c>
      <c r="H448" s="60"/>
      <c r="I448" s="60"/>
      <c r="J448" s="60">
        <f>Table5[[#This Row],[العدد]]*Table5[[#This Row],[الفئة]]</f>
        <v>1820</v>
      </c>
      <c r="K44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70980</v>
      </c>
      <c r="L448" s="60">
        <v>24000</v>
      </c>
      <c r="M448" s="60">
        <f>Table5[[#This Row],[الاجمالي]]-Table5[[#This Row],[المبلغ المدفوع]]</f>
        <v>46980</v>
      </c>
      <c r="N448" s="60"/>
    </row>
    <row r="449" spans="1:14" hidden="1" x14ac:dyDescent="0.3">
      <c r="A449" s="52">
        <f t="shared" si="4"/>
        <v>446</v>
      </c>
      <c r="B449" s="74"/>
      <c r="C449" s="75"/>
      <c r="D449" s="74"/>
      <c r="E449" s="60"/>
      <c r="F449" s="76"/>
      <c r="G449" s="60"/>
      <c r="H449" s="60"/>
      <c r="I449" s="60"/>
      <c r="J449" s="60">
        <f>Table5[[#This Row],[العدد]]*Table5[[#This Row],[الفئة]]</f>
        <v>0</v>
      </c>
      <c r="K44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49" s="60"/>
      <c r="M449" s="60">
        <f>Table5[[#This Row],[الاجمالي]]-Table5[[#This Row],[المبلغ المدفوع]]</f>
        <v>0</v>
      </c>
      <c r="N449" s="60"/>
    </row>
    <row r="450" spans="1:14" hidden="1" x14ac:dyDescent="0.3">
      <c r="A450" s="52">
        <f t="shared" si="4"/>
        <v>447</v>
      </c>
      <c r="B450" s="74" t="s">
        <v>129</v>
      </c>
      <c r="C450" s="75">
        <v>45351</v>
      </c>
      <c r="D450" s="74">
        <v>348</v>
      </c>
      <c r="E450" s="60">
        <v>11</v>
      </c>
      <c r="F450" s="76">
        <v>5</v>
      </c>
      <c r="G450" s="60">
        <v>40</v>
      </c>
      <c r="H450" s="60"/>
      <c r="I450" s="60"/>
      <c r="J450" s="60">
        <f>Table5[[#This Row],[العدد]]*Table5[[#This Row],[الفئة]]</f>
        <v>55</v>
      </c>
      <c r="K45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2200</v>
      </c>
      <c r="L450" s="60">
        <v>2200</v>
      </c>
      <c r="M450" s="60">
        <f>Table5[[#This Row],[الاجمالي]]-Table5[[#This Row],[المبلغ المدفوع]]</f>
        <v>0</v>
      </c>
      <c r="N450" s="60"/>
    </row>
    <row r="451" spans="1:14" hidden="1" x14ac:dyDescent="0.3">
      <c r="A451" s="52">
        <f t="shared" si="4"/>
        <v>448</v>
      </c>
      <c r="B451" s="74"/>
      <c r="C451" s="75"/>
      <c r="D451" s="74"/>
      <c r="E451" s="60"/>
      <c r="F451" s="76"/>
      <c r="G451" s="60"/>
      <c r="H451" s="60"/>
      <c r="I451" s="60"/>
      <c r="J451" s="60">
        <f>Table5[[#This Row],[العدد]]*Table5[[#This Row],[الفئة]]</f>
        <v>0</v>
      </c>
      <c r="K45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51" s="60"/>
      <c r="M451" s="60">
        <f>Table5[[#This Row],[الاجمالي]]-Table5[[#This Row],[المبلغ المدفوع]]</f>
        <v>0</v>
      </c>
      <c r="N451" s="60"/>
    </row>
    <row r="452" spans="1:14" hidden="1" x14ac:dyDescent="0.3">
      <c r="A452" s="52">
        <f t="shared" si="4"/>
        <v>449</v>
      </c>
      <c r="B452" s="74" t="s">
        <v>31</v>
      </c>
      <c r="C452" s="75">
        <v>45352</v>
      </c>
      <c r="D452" s="74">
        <v>349</v>
      </c>
      <c r="E452" s="60">
        <v>6</v>
      </c>
      <c r="F452" s="76">
        <v>5</v>
      </c>
      <c r="G452" s="60">
        <v>38</v>
      </c>
      <c r="H452" s="60"/>
      <c r="I452" s="60"/>
      <c r="J452" s="60">
        <f>Table5[[#This Row],[العدد]]*Table5[[#This Row],[الفئة]]</f>
        <v>30</v>
      </c>
      <c r="K45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1140</v>
      </c>
      <c r="L452" s="60">
        <f>Table5[[#This Row],[الاجمالي]]</f>
        <v>1140</v>
      </c>
      <c r="M452" s="60">
        <f>Table5[[#This Row],[الاجمالي]]-Table5[[#This Row],[المبلغ المدفوع]]</f>
        <v>0</v>
      </c>
      <c r="N452" s="60"/>
    </row>
    <row r="453" spans="1:14" hidden="1" x14ac:dyDescent="0.3">
      <c r="A453" s="52">
        <f t="shared" si="4"/>
        <v>450</v>
      </c>
      <c r="B453" s="74" t="s">
        <v>31</v>
      </c>
      <c r="C453" s="75">
        <v>45352</v>
      </c>
      <c r="D453" s="74">
        <v>349</v>
      </c>
      <c r="E453" s="60">
        <v>4</v>
      </c>
      <c r="F453" s="76">
        <v>1.6</v>
      </c>
      <c r="G453" s="60">
        <v>38</v>
      </c>
      <c r="H453" s="60"/>
      <c r="I453" s="60"/>
      <c r="J453" s="60">
        <f>Table5[[#This Row],[العدد]]*Table5[[#This Row],[الفئة]]</f>
        <v>6.4</v>
      </c>
      <c r="K45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304</v>
      </c>
      <c r="L453" s="60">
        <f>Table5[[#This Row],[الاجمالي]]</f>
        <v>304</v>
      </c>
      <c r="M453" s="60">
        <f>Table5[[#This Row],[الاجمالي]]-Table5[[#This Row],[المبلغ المدفوع]]</f>
        <v>0</v>
      </c>
      <c r="N453" s="60"/>
    </row>
    <row r="454" spans="1:14" hidden="1" x14ac:dyDescent="0.3">
      <c r="A454" s="52">
        <f t="shared" si="4"/>
        <v>451</v>
      </c>
      <c r="B454" s="74"/>
      <c r="C454" s="75"/>
      <c r="D454" s="74"/>
      <c r="E454" s="60"/>
      <c r="F454" s="76"/>
      <c r="G454" s="60"/>
      <c r="H454" s="60"/>
      <c r="I454" s="60"/>
      <c r="J454" s="60">
        <f>Table5[[#This Row],[العدد]]*Table5[[#This Row],[الفئة]]</f>
        <v>0</v>
      </c>
      <c r="K45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54" s="60"/>
      <c r="M454" s="60">
        <f>Table5[[#This Row],[الاجمالي]]-Table5[[#This Row],[المبلغ المدفوع]]</f>
        <v>0</v>
      </c>
      <c r="N454" s="60"/>
    </row>
    <row r="455" spans="1:14" hidden="1" x14ac:dyDescent="0.3">
      <c r="A455" s="52">
        <f t="shared" si="4"/>
        <v>452</v>
      </c>
      <c r="B455" s="74" t="s">
        <v>22</v>
      </c>
      <c r="C455" s="75">
        <v>45352</v>
      </c>
      <c r="D455" s="74">
        <v>350</v>
      </c>
      <c r="E455" s="60">
        <v>15</v>
      </c>
      <c r="F455" s="76">
        <v>5</v>
      </c>
      <c r="G455" s="60">
        <v>40</v>
      </c>
      <c r="H455" s="60"/>
      <c r="I455" s="60"/>
      <c r="J455" s="60">
        <f>Table5[[#This Row],[العدد]]*Table5[[#This Row],[الفئة]]</f>
        <v>75</v>
      </c>
      <c r="K45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</v>
      </c>
      <c r="L455" s="60">
        <v>3000</v>
      </c>
      <c r="M455" s="60">
        <f>Table5[[#This Row],[الاجمالي]]-Table5[[#This Row],[المبلغ المدفوع]]</f>
        <v>0</v>
      </c>
      <c r="N455" s="60"/>
    </row>
    <row r="456" spans="1:14" hidden="1" x14ac:dyDescent="0.3">
      <c r="A456" s="52">
        <f t="shared" si="4"/>
        <v>453</v>
      </c>
      <c r="B456" s="74"/>
      <c r="C456" s="75"/>
      <c r="D456" s="74"/>
      <c r="E456" s="60"/>
      <c r="F456" s="76"/>
      <c r="G456" s="60"/>
      <c r="H456" s="60"/>
      <c r="I456" s="60"/>
      <c r="J456" s="60">
        <f>Table5[[#This Row],[العدد]]*Table5[[#This Row],[الفئة]]</f>
        <v>0</v>
      </c>
      <c r="K45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56" s="60"/>
      <c r="M456" s="60">
        <f>Table5[[#This Row],[الاجمالي]]-Table5[[#This Row],[المبلغ المدفوع]]</f>
        <v>0</v>
      </c>
      <c r="N456" s="60"/>
    </row>
    <row r="457" spans="1:14" hidden="1" x14ac:dyDescent="0.3">
      <c r="A457" s="52">
        <f t="shared" ref="A457:A522" si="5">A456+1</f>
        <v>454</v>
      </c>
      <c r="B457" s="74" t="s">
        <v>110</v>
      </c>
      <c r="C457" s="75">
        <v>45352</v>
      </c>
      <c r="D457" s="74">
        <v>351</v>
      </c>
      <c r="E457" s="60">
        <v>50</v>
      </c>
      <c r="F457" s="76">
        <v>5</v>
      </c>
      <c r="G457" s="60">
        <v>40</v>
      </c>
      <c r="H457" s="60"/>
      <c r="I457" s="60"/>
      <c r="J457" s="60">
        <f>Table5[[#This Row],[العدد]]*Table5[[#This Row],[الفئة]]</f>
        <v>250</v>
      </c>
      <c r="K45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10000</v>
      </c>
      <c r="L457" s="60">
        <v>8000</v>
      </c>
      <c r="M457" s="60">
        <f>Table5[[#This Row],[الاجمالي]]-Table5[[#This Row],[المبلغ المدفوع]]</f>
        <v>2000</v>
      </c>
      <c r="N457" s="60"/>
    </row>
    <row r="458" spans="1:14" hidden="1" x14ac:dyDescent="0.3">
      <c r="A458" s="52">
        <f t="shared" si="5"/>
        <v>455</v>
      </c>
      <c r="B458" s="74"/>
      <c r="C458" s="75"/>
      <c r="D458" s="74"/>
      <c r="E458" s="60"/>
      <c r="F458" s="76"/>
      <c r="G458" s="60"/>
      <c r="H458" s="60"/>
      <c r="I458" s="60"/>
      <c r="J458" s="60">
        <f>Table5[[#This Row],[العدد]]*Table5[[#This Row],[الفئة]]</f>
        <v>0</v>
      </c>
      <c r="K45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58" s="60"/>
      <c r="M458" s="60">
        <f>Table5[[#This Row],[الاجمالي]]-Table5[[#This Row],[المبلغ المدفوع]]</f>
        <v>0</v>
      </c>
      <c r="N458" s="60"/>
    </row>
    <row r="459" spans="1:14" hidden="1" x14ac:dyDescent="0.3">
      <c r="A459" s="52">
        <f t="shared" si="5"/>
        <v>456</v>
      </c>
      <c r="B459" s="74" t="s">
        <v>27</v>
      </c>
      <c r="C459" s="75">
        <v>45352</v>
      </c>
      <c r="D459" s="74">
        <v>352</v>
      </c>
      <c r="E459" s="60">
        <v>20</v>
      </c>
      <c r="F459" s="76">
        <v>5</v>
      </c>
      <c r="G459" s="60">
        <v>40</v>
      </c>
      <c r="H459" s="60"/>
      <c r="I459" s="60"/>
      <c r="J459" s="60">
        <f>Table5[[#This Row],[العدد]]*Table5[[#This Row],[الفئة]]</f>
        <v>100</v>
      </c>
      <c r="K45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459" s="60"/>
      <c r="M459" s="60">
        <f>Table5[[#This Row],[الاجمالي]]-Table5[[#This Row],[المبلغ المدفوع]]</f>
        <v>4000</v>
      </c>
      <c r="N459" s="60"/>
    </row>
    <row r="460" spans="1:14" hidden="1" x14ac:dyDescent="0.3">
      <c r="A460" s="52">
        <f t="shared" si="5"/>
        <v>457</v>
      </c>
      <c r="B460" s="74" t="s">
        <v>27</v>
      </c>
      <c r="C460" s="75">
        <v>45352</v>
      </c>
      <c r="D460" s="74">
        <v>352</v>
      </c>
      <c r="E460" s="60">
        <v>300</v>
      </c>
      <c r="F460" s="76">
        <v>0.8</v>
      </c>
      <c r="G460" s="60">
        <v>38</v>
      </c>
      <c r="H460" s="60"/>
      <c r="I460" s="60"/>
      <c r="J460" s="60">
        <f>Table5[[#This Row],[العدد]]*Table5[[#This Row],[الفئة]]</f>
        <v>240</v>
      </c>
      <c r="K46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11400</v>
      </c>
      <c r="L460" s="60"/>
      <c r="M460" s="60">
        <f>Table5[[#This Row],[الاجمالي]]-Table5[[#This Row],[المبلغ المدفوع]]</f>
        <v>11400</v>
      </c>
      <c r="N460" s="60"/>
    </row>
    <row r="461" spans="1:14" hidden="1" x14ac:dyDescent="0.3">
      <c r="A461" s="52">
        <f t="shared" si="5"/>
        <v>458</v>
      </c>
      <c r="B461" s="74"/>
      <c r="C461" s="75"/>
      <c r="D461" s="74"/>
      <c r="E461" s="60"/>
      <c r="F461" s="76"/>
      <c r="G461" s="60"/>
      <c r="H461" s="60"/>
      <c r="I461" s="60"/>
      <c r="J461" s="60">
        <f>Table5[[#This Row],[العدد]]*Table5[[#This Row],[الفئة]]</f>
        <v>0</v>
      </c>
      <c r="K46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61" s="60"/>
      <c r="M461" s="60">
        <f>Table5[[#This Row],[الاجمالي]]-Table5[[#This Row],[المبلغ المدفوع]]</f>
        <v>0</v>
      </c>
      <c r="N461" s="60"/>
    </row>
    <row r="462" spans="1:14" hidden="1" x14ac:dyDescent="0.3">
      <c r="A462" s="52">
        <f t="shared" si="5"/>
        <v>459</v>
      </c>
      <c r="B462" s="74" t="s">
        <v>48</v>
      </c>
      <c r="C462" s="75">
        <v>45352</v>
      </c>
      <c r="D462" s="74">
        <v>353</v>
      </c>
      <c r="E462" s="60">
        <v>125</v>
      </c>
      <c r="F462" s="76">
        <v>5</v>
      </c>
      <c r="G462" s="60">
        <v>40</v>
      </c>
      <c r="H462" s="60"/>
      <c r="I462" s="60"/>
      <c r="J462" s="60">
        <f>Table5[[#This Row],[العدد]]*Table5[[#This Row],[الفئة]]</f>
        <v>625</v>
      </c>
      <c r="K46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25000</v>
      </c>
      <c r="L462" s="60"/>
      <c r="M462" s="60">
        <f>Table5[[#This Row],[الاجمالي]]-Table5[[#This Row],[المبلغ المدفوع]]</f>
        <v>25000</v>
      </c>
      <c r="N462" s="60"/>
    </row>
    <row r="463" spans="1:14" hidden="1" x14ac:dyDescent="0.3">
      <c r="A463" s="52">
        <f t="shared" si="5"/>
        <v>460</v>
      </c>
      <c r="B463" s="74" t="s">
        <v>48</v>
      </c>
      <c r="C463" s="75">
        <v>45352</v>
      </c>
      <c r="D463" s="74">
        <v>353</v>
      </c>
      <c r="E463" s="60">
        <v>50</v>
      </c>
      <c r="F463" s="76">
        <v>5</v>
      </c>
      <c r="G463" s="60">
        <v>38</v>
      </c>
      <c r="H463" s="60"/>
      <c r="I463" s="60"/>
      <c r="J463" s="60">
        <f>Table5[[#This Row],[العدد]]*Table5[[#This Row],[الفئة]]</f>
        <v>250</v>
      </c>
      <c r="K46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9500</v>
      </c>
      <c r="L463" s="60"/>
      <c r="M463" s="60">
        <f>Table5[[#This Row],[الاجمالي]]-Table5[[#This Row],[المبلغ المدفوع]]</f>
        <v>9500</v>
      </c>
      <c r="N463" s="60"/>
    </row>
    <row r="464" spans="1:14" hidden="1" x14ac:dyDescent="0.3">
      <c r="A464" s="52">
        <f t="shared" si="5"/>
        <v>461</v>
      </c>
      <c r="B464" s="74" t="s">
        <v>48</v>
      </c>
      <c r="C464" s="75">
        <v>45352</v>
      </c>
      <c r="D464" s="74">
        <v>353</v>
      </c>
      <c r="E464" s="60">
        <v>20</v>
      </c>
      <c r="F464" s="76">
        <v>1.6</v>
      </c>
      <c r="G464" s="60">
        <v>38</v>
      </c>
      <c r="H464" s="60"/>
      <c r="I464" s="60"/>
      <c r="J464" s="60">
        <f>Table5[[#This Row],[العدد]]*Table5[[#This Row],[الفئة]]</f>
        <v>32</v>
      </c>
      <c r="K46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464" s="60"/>
      <c r="M464" s="60">
        <f>Table5[[#This Row],[الاجمالي]]-Table5[[#This Row],[المبلغ المدفوع]]</f>
        <v>1520</v>
      </c>
      <c r="N464" s="60"/>
    </row>
    <row r="465" spans="1:14" hidden="1" x14ac:dyDescent="0.3">
      <c r="A465" s="52">
        <f t="shared" si="5"/>
        <v>462</v>
      </c>
      <c r="B465" s="74"/>
      <c r="C465" s="75"/>
      <c r="D465" s="74"/>
      <c r="E465" s="60"/>
      <c r="F465" s="76"/>
      <c r="G465" s="60"/>
      <c r="H465" s="60"/>
      <c r="I465" s="60"/>
      <c r="J465" s="60">
        <f>Table5[[#This Row],[العدد]]*Table5[[#This Row],[الفئة]]</f>
        <v>0</v>
      </c>
      <c r="K46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65" s="60"/>
      <c r="M465" s="60">
        <f>Table5[[#This Row],[الاجمالي]]-Table5[[#This Row],[المبلغ المدفوع]]</f>
        <v>0</v>
      </c>
      <c r="N465" s="60"/>
    </row>
    <row r="466" spans="1:14" hidden="1" x14ac:dyDescent="0.3">
      <c r="A466" s="52">
        <f t="shared" si="5"/>
        <v>463</v>
      </c>
      <c r="B466" s="74" t="s">
        <v>19</v>
      </c>
      <c r="C466" s="75">
        <v>45352</v>
      </c>
      <c r="D466" s="74">
        <v>354</v>
      </c>
      <c r="E466" s="60">
        <v>400</v>
      </c>
      <c r="F466" s="76">
        <v>5</v>
      </c>
      <c r="G466" s="60">
        <v>40</v>
      </c>
      <c r="H466" s="60"/>
      <c r="I466" s="60"/>
      <c r="J466" s="60">
        <f>Table5[[#This Row],[العدد]]*Table5[[#This Row],[الفئة]]</f>
        <v>2000</v>
      </c>
      <c r="K46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80000</v>
      </c>
      <c r="L466" s="60"/>
      <c r="M466" s="60">
        <f>Table5[[#This Row],[الاجمالي]]-Table5[[#This Row],[المبلغ المدفوع]]</f>
        <v>80000</v>
      </c>
      <c r="N466" s="60"/>
    </row>
    <row r="467" spans="1:14" hidden="1" x14ac:dyDescent="0.3">
      <c r="A467" s="52">
        <f t="shared" si="5"/>
        <v>464</v>
      </c>
      <c r="B467" s="74" t="s">
        <v>19</v>
      </c>
      <c r="C467" s="75">
        <v>45352</v>
      </c>
      <c r="D467" s="74">
        <v>354</v>
      </c>
      <c r="E467" s="60">
        <v>100</v>
      </c>
      <c r="F467" s="76">
        <v>1.6</v>
      </c>
      <c r="G467" s="60">
        <v>38</v>
      </c>
      <c r="H467" s="60"/>
      <c r="I467" s="60"/>
      <c r="J467" s="60">
        <f>Table5[[#This Row],[العدد]]*Table5[[#This Row],[الفئة]]</f>
        <v>160</v>
      </c>
      <c r="K46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467" s="60"/>
      <c r="M467" s="60">
        <f>Table5[[#This Row],[الاجمالي]]-Table5[[#This Row],[المبلغ المدفوع]]</f>
        <v>7600</v>
      </c>
      <c r="N467" s="60"/>
    </row>
    <row r="468" spans="1:14" hidden="1" x14ac:dyDescent="0.3">
      <c r="A468" s="52">
        <f t="shared" si="5"/>
        <v>465</v>
      </c>
      <c r="B468" s="74"/>
      <c r="C468" s="75"/>
      <c r="D468" s="74"/>
      <c r="E468" s="60"/>
      <c r="F468" s="76"/>
      <c r="G468" s="60"/>
      <c r="H468" s="60"/>
      <c r="I468" s="60"/>
      <c r="J468" s="60">
        <f>Table5[[#This Row],[العدد]]*Table5[[#This Row],[الفئة]]</f>
        <v>0</v>
      </c>
      <c r="K46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68" s="60"/>
      <c r="M468" s="60">
        <f>Table5[[#This Row],[الاجمالي]]-Table5[[#This Row],[المبلغ المدفوع]]</f>
        <v>0</v>
      </c>
      <c r="N468" s="60"/>
    </row>
    <row r="469" spans="1:14" hidden="1" x14ac:dyDescent="0.3">
      <c r="A469" s="52">
        <f t="shared" si="5"/>
        <v>466</v>
      </c>
      <c r="B469" s="74" t="s">
        <v>87</v>
      </c>
      <c r="C469" s="75">
        <v>45352</v>
      </c>
      <c r="D469" s="74">
        <v>355</v>
      </c>
      <c r="E469" s="60">
        <v>70</v>
      </c>
      <c r="F469" s="76">
        <v>5</v>
      </c>
      <c r="G469" s="60">
        <v>40</v>
      </c>
      <c r="H469" s="60"/>
      <c r="I469" s="60"/>
      <c r="J469" s="60">
        <f>Table5[[#This Row],[العدد]]*Table5[[#This Row],[الفئة]]</f>
        <v>350</v>
      </c>
      <c r="K46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14000</v>
      </c>
      <c r="L469" s="60"/>
      <c r="M469" s="60">
        <f>Table5[[#This Row],[الاجمالي]]-Table5[[#This Row],[المبلغ المدفوع]]</f>
        <v>14000</v>
      </c>
      <c r="N469" s="60"/>
    </row>
    <row r="470" spans="1:14" hidden="1" x14ac:dyDescent="0.3">
      <c r="A470" s="52">
        <f t="shared" si="5"/>
        <v>467</v>
      </c>
      <c r="B470" s="74" t="s">
        <v>87</v>
      </c>
      <c r="C470" s="75">
        <v>45352</v>
      </c>
      <c r="D470" s="74">
        <v>355</v>
      </c>
      <c r="E470" s="60">
        <v>40</v>
      </c>
      <c r="F470" s="76">
        <v>1.6</v>
      </c>
      <c r="G470" s="60">
        <v>38</v>
      </c>
      <c r="H470" s="60"/>
      <c r="I470" s="60"/>
      <c r="J470" s="60">
        <f>Table5[[#This Row],[العدد]]*Table5[[#This Row],[الفئة]]</f>
        <v>64</v>
      </c>
      <c r="K47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3040</v>
      </c>
      <c r="L470" s="60"/>
      <c r="M470" s="60">
        <f>Table5[[#This Row],[الاجمالي]]-Table5[[#This Row],[المبلغ المدفوع]]</f>
        <v>3040</v>
      </c>
      <c r="N470" s="60"/>
    </row>
    <row r="471" spans="1:14" hidden="1" x14ac:dyDescent="0.3">
      <c r="A471" s="52">
        <f t="shared" si="5"/>
        <v>468</v>
      </c>
      <c r="B471" s="74" t="s">
        <v>87</v>
      </c>
      <c r="C471" s="75">
        <v>45352</v>
      </c>
      <c r="D471" s="74">
        <v>355</v>
      </c>
      <c r="E471" s="60">
        <v>150</v>
      </c>
      <c r="F471" s="76">
        <v>0.8</v>
      </c>
      <c r="G471" s="60">
        <v>38</v>
      </c>
      <c r="H471" s="60"/>
      <c r="I471" s="60"/>
      <c r="J471" s="60">
        <f>Table5[[#This Row],[العدد]]*Table5[[#This Row],[الفئة]]</f>
        <v>120</v>
      </c>
      <c r="K47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5700</v>
      </c>
      <c r="L471" s="60"/>
      <c r="M471" s="60">
        <f>Table5[[#This Row],[الاجمالي]]-Table5[[#This Row],[المبلغ المدفوع]]</f>
        <v>5700</v>
      </c>
      <c r="N471" s="60"/>
    </row>
    <row r="472" spans="1:14" hidden="1" x14ac:dyDescent="0.3">
      <c r="A472" s="52">
        <f t="shared" si="5"/>
        <v>469</v>
      </c>
      <c r="B472" s="74"/>
      <c r="C472" s="75"/>
      <c r="D472" s="74"/>
      <c r="E472" s="60"/>
      <c r="F472" s="76"/>
      <c r="G472" s="60"/>
      <c r="H472" s="60"/>
      <c r="I472" s="60"/>
      <c r="J472" s="60">
        <f>Table5[[#This Row],[العدد]]*Table5[[#This Row],[الفئة]]</f>
        <v>0</v>
      </c>
      <c r="K47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72" s="60"/>
      <c r="M472" s="60">
        <f>Table5[[#This Row],[الاجمالي]]-Table5[[#This Row],[المبلغ المدفوع]]</f>
        <v>0</v>
      </c>
      <c r="N472" s="60"/>
    </row>
    <row r="473" spans="1:14" hidden="1" x14ac:dyDescent="0.3">
      <c r="A473" s="52">
        <f t="shared" si="5"/>
        <v>470</v>
      </c>
      <c r="B473" s="74" t="s">
        <v>89</v>
      </c>
      <c r="C473" s="75">
        <v>45352</v>
      </c>
      <c r="D473" s="74">
        <v>356</v>
      </c>
      <c r="E473" s="60">
        <v>50</v>
      </c>
      <c r="F473" s="76">
        <v>5</v>
      </c>
      <c r="G473" s="60">
        <v>40</v>
      </c>
      <c r="H473" s="60"/>
      <c r="I473" s="60">
        <v>250</v>
      </c>
      <c r="J473" s="60">
        <f>Table5[[#This Row],[العدد]]*Table5[[#This Row],[الفئة]]</f>
        <v>250</v>
      </c>
      <c r="K47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10250</v>
      </c>
      <c r="L473" s="60"/>
      <c r="M473" s="60">
        <f>Table5[[#This Row],[الاجمالي]]-Table5[[#This Row],[المبلغ المدفوع]]</f>
        <v>10250</v>
      </c>
      <c r="N473" s="60" t="s">
        <v>143</v>
      </c>
    </row>
    <row r="474" spans="1:14" hidden="1" x14ac:dyDescent="0.3">
      <c r="A474" s="52">
        <f t="shared" si="5"/>
        <v>471</v>
      </c>
      <c r="B474" s="74"/>
      <c r="C474" s="75"/>
      <c r="D474" s="74"/>
      <c r="E474" s="60"/>
      <c r="F474" s="76"/>
      <c r="G474" s="60"/>
      <c r="H474" s="60"/>
      <c r="I474" s="60"/>
      <c r="J474" s="60">
        <f>Table5[[#This Row],[العدد]]*Table5[[#This Row],[الفئة]]</f>
        <v>0</v>
      </c>
      <c r="K47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74" s="60"/>
      <c r="M474" s="60">
        <f>Table5[[#This Row],[الاجمالي]]-Table5[[#This Row],[المبلغ المدفوع]]</f>
        <v>0</v>
      </c>
      <c r="N474" s="60"/>
    </row>
    <row r="475" spans="1:14" hidden="1" x14ac:dyDescent="0.3">
      <c r="A475" s="52">
        <f t="shared" si="5"/>
        <v>472</v>
      </c>
      <c r="B475" s="74" t="s">
        <v>41</v>
      </c>
      <c r="C475" s="75">
        <v>45352</v>
      </c>
      <c r="D475" s="74">
        <v>357</v>
      </c>
      <c r="E475" s="60">
        <v>150</v>
      </c>
      <c r="F475" s="76">
        <v>0.8</v>
      </c>
      <c r="G475" s="60">
        <v>38</v>
      </c>
      <c r="H475" s="60"/>
      <c r="I475" s="60"/>
      <c r="J475" s="60">
        <f>Table5[[#This Row],[العدد]]*Table5[[#This Row],[الفئة]]</f>
        <v>120</v>
      </c>
      <c r="K47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5700</v>
      </c>
      <c r="L475" s="60"/>
      <c r="M475" s="60">
        <f>Table5[[#This Row],[الاجمالي]]-Table5[[#This Row],[المبلغ المدفوع]]</f>
        <v>5700</v>
      </c>
      <c r="N475" s="60"/>
    </row>
    <row r="476" spans="1:14" hidden="1" x14ac:dyDescent="0.3">
      <c r="A476" s="52">
        <f t="shared" si="5"/>
        <v>473</v>
      </c>
      <c r="B476" s="74" t="s">
        <v>41</v>
      </c>
      <c r="C476" s="75">
        <v>45352</v>
      </c>
      <c r="D476" s="74">
        <v>357</v>
      </c>
      <c r="E476" s="60">
        <v>20</v>
      </c>
      <c r="F476" s="76">
        <v>5</v>
      </c>
      <c r="G476" s="60">
        <v>40</v>
      </c>
      <c r="H476" s="60"/>
      <c r="I476" s="60"/>
      <c r="J476" s="60">
        <f>Table5[[#This Row],[العدد]]*Table5[[#This Row],[الفئة]]</f>
        <v>100</v>
      </c>
      <c r="K47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476" s="60"/>
      <c r="M476" s="60">
        <f>Table5[[#This Row],[الاجمالي]]-Table5[[#This Row],[المبلغ المدفوع]]</f>
        <v>4000</v>
      </c>
      <c r="N476" s="60"/>
    </row>
    <row r="477" spans="1:14" hidden="1" x14ac:dyDescent="0.3">
      <c r="B477" s="87" t="s">
        <v>41</v>
      </c>
      <c r="C477" s="80">
        <v>45352</v>
      </c>
      <c r="D477" s="87">
        <v>357</v>
      </c>
      <c r="E477" s="81">
        <v>-11</v>
      </c>
      <c r="F477" s="88">
        <v>5</v>
      </c>
      <c r="G477" s="81">
        <v>40</v>
      </c>
      <c r="H477" s="81"/>
      <c r="I477" s="81"/>
      <c r="J477" s="81">
        <f>Table5[[#This Row],[العدد]]*Table5[[#This Row],[الفئة]]</f>
        <v>-55</v>
      </c>
      <c r="K477" s="81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-2200</v>
      </c>
      <c r="L477" s="81"/>
      <c r="M477" s="81">
        <f>Table5[[#This Row],[الاجمالي]]-Table5[[#This Row],[المبلغ المدفوع]]</f>
        <v>-2200</v>
      </c>
      <c r="N477" s="57" t="s">
        <v>151</v>
      </c>
    </row>
    <row r="478" spans="1:14" hidden="1" x14ac:dyDescent="0.3">
      <c r="A478" s="52">
        <f>A476+1</f>
        <v>474</v>
      </c>
      <c r="B478" s="74"/>
      <c r="C478" s="75"/>
      <c r="D478" s="74"/>
      <c r="E478" s="60"/>
      <c r="F478" s="76"/>
      <c r="G478" s="60"/>
      <c r="H478" s="60"/>
      <c r="I478" s="60"/>
      <c r="J478" s="60">
        <f>Table5[[#This Row],[العدد]]*Table5[[#This Row],[الفئة]]</f>
        <v>0</v>
      </c>
      <c r="K47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78" s="60"/>
      <c r="M478" s="60">
        <f>Table5[[#This Row],[الاجمالي]]-Table5[[#This Row],[المبلغ المدفوع]]</f>
        <v>0</v>
      </c>
      <c r="N478" s="60"/>
    </row>
    <row r="479" spans="1:14" hidden="1" x14ac:dyDescent="0.3">
      <c r="A479" s="52">
        <f t="shared" si="5"/>
        <v>475</v>
      </c>
      <c r="B479" s="55" t="s">
        <v>130</v>
      </c>
      <c r="C479" s="75">
        <v>45352</v>
      </c>
      <c r="D479" s="74">
        <v>358</v>
      </c>
      <c r="E479" s="60">
        <v>130</v>
      </c>
      <c r="F479" s="76">
        <v>5</v>
      </c>
      <c r="G479" s="60">
        <v>40</v>
      </c>
      <c r="H479" s="60"/>
      <c r="I479" s="60"/>
      <c r="J479" s="60">
        <f>Table5[[#This Row],[العدد]]*Table5[[#This Row],[الفئة]]</f>
        <v>650</v>
      </c>
      <c r="K47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26000</v>
      </c>
      <c r="L479" s="60"/>
      <c r="M479" s="60">
        <f>Table5[[#This Row],[الاجمالي]]-Table5[[#This Row],[المبلغ المدفوع]]</f>
        <v>26000</v>
      </c>
      <c r="N479" s="60"/>
    </row>
    <row r="480" spans="1:14" hidden="1" x14ac:dyDescent="0.3">
      <c r="A480" s="52">
        <f t="shared" si="5"/>
        <v>476</v>
      </c>
      <c r="B480" s="55" t="s">
        <v>130</v>
      </c>
      <c r="C480" s="75">
        <v>45352</v>
      </c>
      <c r="D480" s="74">
        <v>358</v>
      </c>
      <c r="E480" s="60">
        <v>100</v>
      </c>
      <c r="F480" s="76">
        <v>1.6</v>
      </c>
      <c r="G480" s="60">
        <v>38</v>
      </c>
      <c r="H480" s="60"/>
      <c r="I480" s="60"/>
      <c r="J480" s="60">
        <f>Table5[[#This Row],[العدد]]*Table5[[#This Row],[الفئة]]</f>
        <v>160</v>
      </c>
      <c r="K48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7600</v>
      </c>
      <c r="L480" s="60"/>
      <c r="M480" s="60">
        <f>Table5[[#This Row],[الاجمالي]]-Table5[[#This Row],[المبلغ المدفوع]]</f>
        <v>7600</v>
      </c>
      <c r="N480" s="60"/>
    </row>
    <row r="481" spans="1:14" hidden="1" x14ac:dyDescent="0.3">
      <c r="A481" s="52">
        <f t="shared" si="5"/>
        <v>477</v>
      </c>
      <c r="B481" s="55" t="s">
        <v>130</v>
      </c>
      <c r="C481" s="75">
        <v>45352</v>
      </c>
      <c r="D481" s="74">
        <v>358</v>
      </c>
      <c r="E481" s="60">
        <v>150</v>
      </c>
      <c r="F481" s="76">
        <v>0.8</v>
      </c>
      <c r="G481" s="60">
        <v>38</v>
      </c>
      <c r="H481" s="60"/>
      <c r="I481" s="60"/>
      <c r="J481" s="60">
        <f>Table5[[#This Row],[العدد]]*Table5[[#This Row],[الفئة]]</f>
        <v>120</v>
      </c>
      <c r="K48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5700</v>
      </c>
      <c r="L481" s="60"/>
      <c r="M481" s="60">
        <f>Table5[[#This Row],[الاجمالي]]-Table5[[#This Row],[المبلغ المدفوع]]</f>
        <v>5700</v>
      </c>
      <c r="N481" s="60"/>
    </row>
    <row r="482" spans="1:14" hidden="1" x14ac:dyDescent="0.3">
      <c r="A482" s="52">
        <f t="shared" si="5"/>
        <v>478</v>
      </c>
      <c r="B482" s="74"/>
      <c r="C482" s="75"/>
      <c r="D482" s="74"/>
      <c r="E482" s="60"/>
      <c r="F482" s="76"/>
      <c r="G482" s="60"/>
      <c r="H482" s="60"/>
      <c r="I482" s="60"/>
      <c r="J482" s="60">
        <f>Table5[[#This Row],[العدد]]*Table5[[#This Row],[الفئة]]</f>
        <v>0</v>
      </c>
      <c r="K48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82" s="60"/>
      <c r="M482" s="60">
        <f>Table5[[#This Row],[الاجمالي]]-Table5[[#This Row],[المبلغ المدفوع]]</f>
        <v>0</v>
      </c>
      <c r="N482" s="60"/>
    </row>
    <row r="483" spans="1:14" hidden="1" x14ac:dyDescent="0.3">
      <c r="A483" s="52">
        <f t="shared" si="5"/>
        <v>479</v>
      </c>
      <c r="B483" s="74" t="s">
        <v>131</v>
      </c>
      <c r="C483" s="75">
        <v>45352</v>
      </c>
      <c r="D483" s="74">
        <v>359</v>
      </c>
      <c r="E483" s="60">
        <v>10</v>
      </c>
      <c r="F483" s="76">
        <v>5</v>
      </c>
      <c r="G483" s="60">
        <v>40</v>
      </c>
      <c r="H483" s="60"/>
      <c r="I483" s="60"/>
      <c r="J483" s="60">
        <f>Table5[[#This Row],[العدد]]*Table5[[#This Row],[الفئة]]</f>
        <v>50</v>
      </c>
      <c r="K48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</v>
      </c>
      <c r="L483" s="60"/>
      <c r="M483" s="60">
        <f>Table5[[#This Row],[الاجمالي]]-Table5[[#This Row],[المبلغ المدفوع]]</f>
        <v>2000</v>
      </c>
      <c r="N483" s="60"/>
    </row>
    <row r="484" spans="1:14" hidden="1" x14ac:dyDescent="0.3">
      <c r="A484" s="52">
        <f t="shared" si="5"/>
        <v>480</v>
      </c>
      <c r="B484" s="74"/>
      <c r="C484" s="75"/>
      <c r="D484" s="74"/>
      <c r="E484" s="60"/>
      <c r="F484" s="76"/>
      <c r="G484" s="60"/>
      <c r="H484" s="60"/>
      <c r="I484" s="60"/>
      <c r="J484" s="60">
        <f>Table5[[#This Row],[العدد]]*Table5[[#This Row],[الفئة]]</f>
        <v>0</v>
      </c>
      <c r="K48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84" s="60"/>
      <c r="M484" s="60">
        <f>Table5[[#This Row],[الاجمالي]]-Table5[[#This Row],[المبلغ المدفوع]]</f>
        <v>0</v>
      </c>
      <c r="N484" s="60"/>
    </row>
    <row r="485" spans="1:14" hidden="1" x14ac:dyDescent="0.3">
      <c r="A485" s="52">
        <f t="shared" si="5"/>
        <v>481</v>
      </c>
      <c r="B485" s="74" t="s">
        <v>69</v>
      </c>
      <c r="C485" s="75">
        <v>45352</v>
      </c>
      <c r="D485" s="74">
        <v>360</v>
      </c>
      <c r="E485" s="60"/>
      <c r="F485" s="76"/>
      <c r="G485" s="60"/>
      <c r="H485" s="60"/>
      <c r="I485" s="60"/>
      <c r="J485" s="60">
        <f>Table5[[#This Row],[العدد]]*Table5[[#This Row],[الفئة]]</f>
        <v>0</v>
      </c>
      <c r="K48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85" s="60"/>
      <c r="M485" s="60">
        <f>Table5[[#This Row],[الاجمالي]]-Table5[[#This Row],[المبلغ المدفوع]]</f>
        <v>0</v>
      </c>
      <c r="N485" s="60"/>
    </row>
    <row r="486" spans="1:14" hidden="1" x14ac:dyDescent="0.3">
      <c r="A486" s="52">
        <f t="shared" si="5"/>
        <v>482</v>
      </c>
      <c r="B486" s="74"/>
      <c r="C486" s="75"/>
      <c r="D486" s="74"/>
      <c r="E486" s="60"/>
      <c r="F486" s="76"/>
      <c r="G486" s="60"/>
      <c r="H486" s="60"/>
      <c r="I486" s="60"/>
      <c r="J486" s="60">
        <f>Table5[[#This Row],[العدد]]*Table5[[#This Row],[الفئة]]</f>
        <v>0</v>
      </c>
      <c r="K48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86" s="60"/>
      <c r="M486" s="60">
        <f>Table5[[#This Row],[الاجمالي]]-Table5[[#This Row],[المبلغ المدفوع]]</f>
        <v>0</v>
      </c>
      <c r="N486" s="60"/>
    </row>
    <row r="487" spans="1:14" hidden="1" x14ac:dyDescent="0.3">
      <c r="A487" s="52">
        <f t="shared" si="5"/>
        <v>483</v>
      </c>
      <c r="B487" s="74" t="s">
        <v>120</v>
      </c>
      <c r="C487" s="75">
        <v>45354</v>
      </c>
      <c r="D487" s="74">
        <v>361</v>
      </c>
      <c r="E487" s="60">
        <v>400</v>
      </c>
      <c r="F487" s="76">
        <v>5</v>
      </c>
      <c r="G487" s="60">
        <v>39</v>
      </c>
      <c r="H487" s="60"/>
      <c r="I487" s="60"/>
      <c r="J487" s="60">
        <f>Table5[[#This Row],[العدد]]*Table5[[#This Row],[الفئة]]</f>
        <v>2000</v>
      </c>
      <c r="K48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78000</v>
      </c>
      <c r="L487" s="60"/>
      <c r="M487" s="60">
        <f>Table5[[#This Row],[الاجمالي]]-Table5[[#This Row],[المبلغ المدفوع]]</f>
        <v>78000</v>
      </c>
      <c r="N487" s="60"/>
    </row>
    <row r="488" spans="1:14" hidden="1" x14ac:dyDescent="0.3">
      <c r="A488" s="52">
        <f t="shared" si="5"/>
        <v>484</v>
      </c>
      <c r="B488" s="74" t="s">
        <v>120</v>
      </c>
      <c r="C488" s="75">
        <v>45354</v>
      </c>
      <c r="D488" s="74">
        <v>361</v>
      </c>
      <c r="E488" s="60">
        <v>50</v>
      </c>
      <c r="F488" s="76">
        <v>0.8</v>
      </c>
      <c r="G488" s="60">
        <v>38</v>
      </c>
      <c r="H488" s="60"/>
      <c r="I488" s="60"/>
      <c r="J488" s="60">
        <f>Table5[[#This Row],[العدد]]*Table5[[#This Row],[الفئة]]</f>
        <v>40</v>
      </c>
      <c r="K48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1900</v>
      </c>
      <c r="L488" s="60"/>
      <c r="M488" s="60">
        <f>Table5[[#This Row],[الاجمالي]]-Table5[[#This Row],[المبلغ المدفوع]]</f>
        <v>1900</v>
      </c>
      <c r="N488" s="60"/>
    </row>
    <row r="489" spans="1:14" hidden="1" x14ac:dyDescent="0.3">
      <c r="A489" s="52">
        <f t="shared" si="5"/>
        <v>485</v>
      </c>
      <c r="B489" s="74"/>
      <c r="C489" s="75"/>
      <c r="D489" s="74"/>
      <c r="E489" s="60"/>
      <c r="F489" s="76"/>
      <c r="G489" s="60"/>
      <c r="H489" s="60"/>
      <c r="I489" s="60"/>
      <c r="J489" s="60">
        <f>Table5[[#This Row],[العدد]]*Table5[[#This Row],[الفئة]]</f>
        <v>0</v>
      </c>
      <c r="K48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89" s="60"/>
      <c r="M489" s="60">
        <f>Table5[[#This Row],[الاجمالي]]-Table5[[#This Row],[المبلغ المدفوع]]</f>
        <v>0</v>
      </c>
      <c r="N489" s="60"/>
    </row>
    <row r="490" spans="1:14" hidden="1" x14ac:dyDescent="0.3">
      <c r="A490" s="52">
        <f t="shared" si="5"/>
        <v>486</v>
      </c>
      <c r="B490" s="74" t="s">
        <v>110</v>
      </c>
      <c r="C490" s="75">
        <v>45354</v>
      </c>
      <c r="D490" s="74">
        <v>362</v>
      </c>
      <c r="E490" s="60">
        <v>2</v>
      </c>
      <c r="F490" s="76">
        <v>5</v>
      </c>
      <c r="G490" s="60">
        <v>40</v>
      </c>
      <c r="H490" s="60"/>
      <c r="I490" s="60"/>
      <c r="J490" s="60">
        <f>Table5[[#This Row],[العدد]]*Table5[[#This Row],[الفئة]]</f>
        <v>10</v>
      </c>
      <c r="K49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</v>
      </c>
      <c r="L490" s="60">
        <v>400</v>
      </c>
      <c r="M490" s="60">
        <f>Table5[[#This Row],[الاجمالي]]-Table5[[#This Row],[المبلغ المدفوع]]</f>
        <v>0</v>
      </c>
      <c r="N490" s="60"/>
    </row>
    <row r="491" spans="1:14" hidden="1" x14ac:dyDescent="0.3">
      <c r="A491" s="52">
        <f t="shared" si="5"/>
        <v>487</v>
      </c>
      <c r="B491" s="74"/>
      <c r="C491" s="75"/>
      <c r="D491" s="74"/>
      <c r="E491" s="60"/>
      <c r="F491" s="76"/>
      <c r="G491" s="60"/>
      <c r="H491" s="60"/>
      <c r="I491" s="60"/>
      <c r="J491" s="60">
        <f>Table5[[#This Row],[العدد]]*Table5[[#This Row],[الفئة]]</f>
        <v>0</v>
      </c>
      <c r="K49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91" s="60"/>
      <c r="M491" s="60">
        <f>Table5[[#This Row],[الاجمالي]]-Table5[[#This Row],[المبلغ المدفوع]]</f>
        <v>0</v>
      </c>
      <c r="N491" s="60"/>
    </row>
    <row r="492" spans="1:14" hidden="1" x14ac:dyDescent="0.3">
      <c r="A492" s="52">
        <f t="shared" si="5"/>
        <v>488</v>
      </c>
      <c r="B492" s="78" t="s">
        <v>127</v>
      </c>
      <c r="C492" s="75">
        <v>45354</v>
      </c>
      <c r="D492" s="74">
        <v>363</v>
      </c>
      <c r="E492" s="60">
        <v>60</v>
      </c>
      <c r="F492" s="76">
        <v>5</v>
      </c>
      <c r="G492" s="77"/>
      <c r="H492" s="60"/>
      <c r="I492" s="60"/>
      <c r="J492" s="60">
        <f>Table5[[#This Row],[العدد]]*Table5[[#This Row],[الفئة]]</f>
        <v>300</v>
      </c>
      <c r="K49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92" s="60"/>
      <c r="M492" s="60">
        <f>Table5[[#This Row],[الاجمالي]]-Table5[[#This Row],[المبلغ المدفوع]]</f>
        <v>0</v>
      </c>
      <c r="N492" s="60"/>
    </row>
    <row r="493" spans="1:14" hidden="1" x14ac:dyDescent="0.3">
      <c r="A493" s="52">
        <f t="shared" si="5"/>
        <v>489</v>
      </c>
      <c r="B493" s="74"/>
      <c r="C493" s="75"/>
      <c r="D493" s="74"/>
      <c r="E493" s="60"/>
      <c r="F493" s="76"/>
      <c r="G493" s="60"/>
      <c r="H493" s="60"/>
      <c r="I493" s="60"/>
      <c r="J493" s="60">
        <f>Table5[[#This Row],[العدد]]*Table5[[#This Row],[الفئة]]</f>
        <v>0</v>
      </c>
      <c r="K49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93" s="60"/>
      <c r="M493" s="60">
        <f>Table5[[#This Row],[الاجمالي]]-Table5[[#This Row],[المبلغ المدفوع]]</f>
        <v>0</v>
      </c>
      <c r="N493" s="60"/>
    </row>
    <row r="494" spans="1:14" hidden="1" x14ac:dyDescent="0.3">
      <c r="A494" s="52">
        <f t="shared" si="5"/>
        <v>490</v>
      </c>
      <c r="B494" s="74" t="s">
        <v>132</v>
      </c>
      <c r="C494" s="75">
        <v>45354</v>
      </c>
      <c r="D494" s="74">
        <v>364</v>
      </c>
      <c r="E494" s="60">
        <v>500</v>
      </c>
      <c r="F494" s="76">
        <v>5</v>
      </c>
      <c r="G494" s="60">
        <v>39</v>
      </c>
      <c r="H494" s="60"/>
      <c r="I494" s="60">
        <v>200</v>
      </c>
      <c r="J494" s="60">
        <f>Table5[[#This Row],[العدد]]*Table5[[#This Row],[الفئة]]</f>
        <v>2500</v>
      </c>
      <c r="K49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97700</v>
      </c>
      <c r="L494" s="60">
        <f>Table5[[#This Row],[الاجمالي]]</f>
        <v>97700</v>
      </c>
      <c r="M494" s="60">
        <f>Table5[[#This Row],[الاجمالي]]-Table5[[#This Row],[المبلغ المدفوع]]</f>
        <v>0</v>
      </c>
      <c r="N494" s="60"/>
    </row>
    <row r="495" spans="1:14" hidden="1" x14ac:dyDescent="0.3">
      <c r="A495" s="52">
        <f t="shared" si="5"/>
        <v>491</v>
      </c>
      <c r="B495" s="74"/>
      <c r="C495" s="75"/>
      <c r="D495" s="74"/>
      <c r="E495" s="60"/>
      <c r="F495" s="76"/>
      <c r="G495" s="60"/>
      <c r="H495" s="60"/>
      <c r="I495" s="60"/>
      <c r="J495" s="60">
        <f>Table5[[#This Row],[العدد]]*Table5[[#This Row],[الفئة]]</f>
        <v>0</v>
      </c>
      <c r="K49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95" s="60"/>
      <c r="M495" s="60">
        <f>Table5[[#This Row],[الاجمالي]]-Table5[[#This Row],[المبلغ المدفوع]]</f>
        <v>0</v>
      </c>
      <c r="N495" s="60"/>
    </row>
    <row r="496" spans="1:14" hidden="1" x14ac:dyDescent="0.3">
      <c r="A496" s="52">
        <f t="shared" si="5"/>
        <v>492</v>
      </c>
      <c r="B496" s="74" t="s">
        <v>133</v>
      </c>
      <c r="C496" s="75">
        <v>45354</v>
      </c>
      <c r="D496" s="74">
        <v>365</v>
      </c>
      <c r="E496" s="60">
        <v>5</v>
      </c>
      <c r="F496" s="76">
        <v>5</v>
      </c>
      <c r="G496" s="60">
        <v>40</v>
      </c>
      <c r="H496" s="60"/>
      <c r="I496" s="60"/>
      <c r="J496" s="60">
        <f>Table5[[#This Row],[العدد]]*Table5[[#This Row],[الفئة]]</f>
        <v>25</v>
      </c>
      <c r="K49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1000</v>
      </c>
      <c r="L496" s="60">
        <v>1000</v>
      </c>
      <c r="M496" s="60">
        <f>Table5[[#This Row],[الاجمالي]]-Table5[[#This Row],[المبلغ المدفوع]]</f>
        <v>0</v>
      </c>
      <c r="N496" s="60"/>
    </row>
    <row r="497" spans="1:14" hidden="1" x14ac:dyDescent="0.3">
      <c r="A497" s="52">
        <f t="shared" si="5"/>
        <v>493</v>
      </c>
      <c r="B497" s="74" t="s">
        <v>133</v>
      </c>
      <c r="C497" s="75">
        <v>45354</v>
      </c>
      <c r="D497" s="74">
        <v>365</v>
      </c>
      <c r="E497" s="60">
        <v>20</v>
      </c>
      <c r="F497" s="76">
        <v>1.6</v>
      </c>
      <c r="G497" s="60">
        <v>38</v>
      </c>
      <c r="H497" s="60">
        <v>20</v>
      </c>
      <c r="I497" s="60"/>
      <c r="J497" s="60">
        <f>Table5[[#This Row],[العدد]]*Table5[[#This Row],[الفئة]]</f>
        <v>32</v>
      </c>
      <c r="K49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1500</v>
      </c>
      <c r="L497" s="60">
        <v>1500</v>
      </c>
      <c r="M497" s="60">
        <f>Table5[[#This Row],[الاجمالي]]-Table5[[#This Row],[المبلغ المدفوع]]</f>
        <v>0</v>
      </c>
      <c r="N497" s="60"/>
    </row>
    <row r="498" spans="1:14" hidden="1" x14ac:dyDescent="0.3">
      <c r="A498" s="52">
        <f t="shared" si="5"/>
        <v>494</v>
      </c>
      <c r="B498" s="74"/>
      <c r="C498" s="75"/>
      <c r="D498" s="74"/>
      <c r="E498" s="60"/>
      <c r="F498" s="76"/>
      <c r="G498" s="60"/>
      <c r="H498" s="60"/>
      <c r="I498" s="60"/>
      <c r="J498" s="60">
        <f>Table5[[#This Row],[العدد]]*Table5[[#This Row],[الفئة]]</f>
        <v>0</v>
      </c>
      <c r="K49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498" s="60"/>
      <c r="M498" s="60">
        <f>Table5[[#This Row],[الاجمالي]]-Table5[[#This Row],[المبلغ المدفوع]]</f>
        <v>0</v>
      </c>
      <c r="N498" s="60"/>
    </row>
    <row r="499" spans="1:14" hidden="1" x14ac:dyDescent="0.3">
      <c r="A499" s="52">
        <f t="shared" si="5"/>
        <v>495</v>
      </c>
      <c r="B499" s="74" t="s">
        <v>22</v>
      </c>
      <c r="C499" s="75">
        <v>45355</v>
      </c>
      <c r="D499" s="74">
        <v>366</v>
      </c>
      <c r="E499" s="60">
        <v>13</v>
      </c>
      <c r="F499" s="76">
        <v>5</v>
      </c>
      <c r="G499" s="60">
        <v>39</v>
      </c>
      <c r="H499" s="60"/>
      <c r="I499" s="60"/>
      <c r="J499" s="60">
        <f>Table5[[#This Row],[العدد]]*Table5[[#This Row],[الفئة]]</f>
        <v>65</v>
      </c>
      <c r="K49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2535</v>
      </c>
      <c r="L499" s="60"/>
      <c r="M499" s="60">
        <f>Table5[[#This Row],[الاجمالي]]-Table5[[#This Row],[المبلغ المدفوع]]</f>
        <v>2535</v>
      </c>
      <c r="N499" s="77" t="s">
        <v>134</v>
      </c>
    </row>
    <row r="500" spans="1:14" hidden="1" x14ac:dyDescent="0.3">
      <c r="A500" s="52">
        <f t="shared" si="5"/>
        <v>496</v>
      </c>
      <c r="B500" s="74"/>
      <c r="C500" s="75"/>
      <c r="D500" s="74"/>
      <c r="E500" s="60"/>
      <c r="F500" s="76"/>
      <c r="G500" s="60"/>
      <c r="H500" s="60"/>
      <c r="I500" s="60"/>
      <c r="J500" s="60">
        <f>Table5[[#This Row],[العدد]]*Table5[[#This Row],[الفئة]]</f>
        <v>0</v>
      </c>
      <c r="K50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00" s="60"/>
      <c r="M500" s="60">
        <f>Table5[[#This Row],[الاجمالي]]-Table5[[#This Row],[المبلغ المدفوع]]</f>
        <v>0</v>
      </c>
      <c r="N500" s="60"/>
    </row>
    <row r="501" spans="1:14" hidden="1" x14ac:dyDescent="0.3">
      <c r="A501" s="52">
        <f t="shared" si="5"/>
        <v>497</v>
      </c>
      <c r="B501" s="74" t="s">
        <v>112</v>
      </c>
      <c r="C501" s="75">
        <v>45355</v>
      </c>
      <c r="D501" s="74">
        <v>367</v>
      </c>
      <c r="E501" s="60">
        <v>60</v>
      </c>
      <c r="F501" s="76">
        <v>5</v>
      </c>
      <c r="G501" s="60">
        <v>40</v>
      </c>
      <c r="H501" s="60"/>
      <c r="I501" s="60"/>
      <c r="J501" s="60">
        <f>Table5[[#This Row],[العدد]]*Table5[[#This Row],[الفئة]]</f>
        <v>300</v>
      </c>
      <c r="K50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12000</v>
      </c>
      <c r="L501" s="60">
        <v>30000</v>
      </c>
      <c r="M501" s="60">
        <f>Table5[[#This Row],[الاجمالي]]-Table5[[#This Row],[المبلغ المدفوع]]</f>
        <v>-18000</v>
      </c>
      <c r="N501" s="60"/>
    </row>
    <row r="502" spans="1:14" hidden="1" x14ac:dyDescent="0.3">
      <c r="A502" s="52">
        <f t="shared" si="5"/>
        <v>498</v>
      </c>
      <c r="B502" s="74" t="s">
        <v>112</v>
      </c>
      <c r="C502" s="75">
        <v>45355</v>
      </c>
      <c r="D502" s="74">
        <v>367</v>
      </c>
      <c r="E502" s="60">
        <v>26</v>
      </c>
      <c r="F502" s="76">
        <v>0.8</v>
      </c>
      <c r="G502" s="60">
        <v>38</v>
      </c>
      <c r="H502" s="60"/>
      <c r="I502" s="60"/>
      <c r="J502" s="60">
        <f>Table5[[#This Row],[العدد]]*Table5[[#This Row],[الفئة]]</f>
        <v>20.8</v>
      </c>
      <c r="K50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988</v>
      </c>
      <c r="L502" s="60"/>
      <c r="M502" s="60">
        <f>Table5[[#This Row],[الاجمالي]]-Table5[[#This Row],[المبلغ المدفوع]]</f>
        <v>988</v>
      </c>
      <c r="N502" s="60"/>
    </row>
    <row r="503" spans="1:14" hidden="1" x14ac:dyDescent="0.3">
      <c r="A503" s="52">
        <f t="shared" si="5"/>
        <v>499</v>
      </c>
      <c r="B503" s="74" t="s">
        <v>112</v>
      </c>
      <c r="C503" s="80">
        <v>45361</v>
      </c>
      <c r="D503" s="74">
        <v>367</v>
      </c>
      <c r="E503" s="60"/>
      <c r="F503" s="76"/>
      <c r="G503" s="60"/>
      <c r="H503" s="60"/>
      <c r="I503" s="60"/>
      <c r="J503" s="60">
        <f>Table5[[#This Row],[العدد]]*Table5[[#This Row],[الفئة]]</f>
        <v>0</v>
      </c>
      <c r="K50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03" s="81">
        <v>9000</v>
      </c>
      <c r="M503" s="60">
        <f>Table5[[#This Row],[الاجمالي]]-Table5[[#This Row],[المبلغ المدفوع]]</f>
        <v>-9000</v>
      </c>
      <c r="N503" s="60"/>
    </row>
    <row r="504" spans="1:14" hidden="1" x14ac:dyDescent="0.3">
      <c r="A504" s="52">
        <f t="shared" si="5"/>
        <v>500</v>
      </c>
      <c r="B504" s="74"/>
      <c r="C504" s="75"/>
      <c r="D504" s="74"/>
      <c r="E504" s="60"/>
      <c r="F504" s="76"/>
      <c r="G504" s="60"/>
      <c r="H504" s="60"/>
      <c r="I504" s="60"/>
      <c r="J504" s="60">
        <f>Table5[[#This Row],[العدد]]*Table5[[#This Row],[الفئة]]</f>
        <v>0</v>
      </c>
      <c r="K50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04" s="60"/>
      <c r="M504" s="60">
        <f>Table5[[#This Row],[الاجمالي]]-Table5[[#This Row],[المبلغ المدفوع]]</f>
        <v>0</v>
      </c>
      <c r="N504" s="60"/>
    </row>
    <row r="505" spans="1:14" hidden="1" x14ac:dyDescent="0.3">
      <c r="A505" s="52">
        <f t="shared" si="5"/>
        <v>501</v>
      </c>
      <c r="B505" s="74" t="s">
        <v>135</v>
      </c>
      <c r="C505" s="75">
        <v>45355</v>
      </c>
      <c r="D505" s="74">
        <v>368</v>
      </c>
      <c r="E505" s="60">
        <v>139</v>
      </c>
      <c r="F505" s="76">
        <v>5</v>
      </c>
      <c r="G505" s="60">
        <v>44</v>
      </c>
      <c r="H505" s="60"/>
      <c r="I505" s="60"/>
      <c r="J505" s="60">
        <f>Table5[[#This Row],[العدد]]*Table5[[#This Row],[الفئة]]</f>
        <v>695</v>
      </c>
      <c r="K50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30580</v>
      </c>
      <c r="L505" s="60"/>
      <c r="M505" s="60">
        <f>Table5[[#This Row],[الاجمالي]]-Table5[[#This Row],[المبلغ المدفوع]]</f>
        <v>30580</v>
      </c>
      <c r="N505" s="60"/>
    </row>
    <row r="506" spans="1:14" hidden="1" x14ac:dyDescent="0.3">
      <c r="A506" s="52">
        <f t="shared" si="5"/>
        <v>502</v>
      </c>
      <c r="B506" s="74" t="s">
        <v>135</v>
      </c>
      <c r="C506" s="75">
        <v>45355</v>
      </c>
      <c r="D506" s="74">
        <v>368</v>
      </c>
      <c r="E506" s="60">
        <v>41</v>
      </c>
      <c r="F506" s="76">
        <v>5</v>
      </c>
      <c r="G506" s="60">
        <v>40</v>
      </c>
      <c r="H506" s="60"/>
      <c r="I506" s="60"/>
      <c r="J506" s="60">
        <f>Table5[[#This Row],[العدد]]*Table5[[#This Row],[الفئة]]</f>
        <v>205</v>
      </c>
      <c r="K50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8200</v>
      </c>
      <c r="L506" s="60"/>
      <c r="M506" s="60">
        <f>Table5[[#This Row],[الاجمالي]]-Table5[[#This Row],[المبلغ المدفوع]]</f>
        <v>8200</v>
      </c>
      <c r="N506" s="60"/>
    </row>
    <row r="507" spans="1:14" hidden="1" x14ac:dyDescent="0.3">
      <c r="A507" s="52">
        <f t="shared" si="5"/>
        <v>503</v>
      </c>
      <c r="B507" s="74"/>
      <c r="C507" s="75"/>
      <c r="D507" s="74"/>
      <c r="E507" s="60"/>
      <c r="F507" s="76"/>
      <c r="G507" s="60"/>
      <c r="H507" s="60"/>
      <c r="I507" s="60"/>
      <c r="J507" s="60">
        <f>Table5[[#This Row],[العدد]]*Table5[[#This Row],[الفئة]]</f>
        <v>0</v>
      </c>
      <c r="K50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07" s="60"/>
      <c r="M507" s="60">
        <f>Table5[[#This Row],[الاجمالي]]-Table5[[#This Row],[المبلغ المدفوع]]</f>
        <v>0</v>
      </c>
      <c r="N507" s="60"/>
    </row>
    <row r="508" spans="1:14" hidden="1" x14ac:dyDescent="0.3">
      <c r="A508" s="52">
        <f t="shared" si="5"/>
        <v>504</v>
      </c>
      <c r="B508" s="74" t="s">
        <v>89</v>
      </c>
      <c r="C508" s="75">
        <v>45358</v>
      </c>
      <c r="D508" s="74">
        <v>369</v>
      </c>
      <c r="E508" s="60">
        <v>230</v>
      </c>
      <c r="F508" s="76">
        <v>0.8</v>
      </c>
      <c r="G508" s="60">
        <v>38</v>
      </c>
      <c r="H508" s="60"/>
      <c r="I508" s="60"/>
      <c r="J508" s="60">
        <f>Table5[[#This Row],[العدد]]*Table5[[#This Row],[الفئة]]</f>
        <v>184</v>
      </c>
      <c r="K50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8740</v>
      </c>
      <c r="L508" s="60"/>
      <c r="M508" s="60">
        <f>Table5[[#This Row],[الاجمالي]]-Table5[[#This Row],[المبلغ المدفوع]]</f>
        <v>8740</v>
      </c>
      <c r="N508" s="60"/>
    </row>
    <row r="509" spans="1:14" hidden="1" x14ac:dyDescent="0.3">
      <c r="A509" s="52">
        <f t="shared" si="5"/>
        <v>505</v>
      </c>
      <c r="B509" s="74" t="s">
        <v>89</v>
      </c>
      <c r="C509" s="75">
        <v>45358</v>
      </c>
      <c r="D509" s="74">
        <v>369</v>
      </c>
      <c r="E509" s="60">
        <v>100</v>
      </c>
      <c r="F509" s="76">
        <v>0.8</v>
      </c>
      <c r="G509" s="60">
        <v>40</v>
      </c>
      <c r="H509" s="60"/>
      <c r="I509" s="60"/>
      <c r="J509" s="60">
        <f>Table5[[#This Row],[العدد]]*Table5[[#This Row],[الفئة]]</f>
        <v>80</v>
      </c>
      <c r="K50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4000</v>
      </c>
      <c r="L509" s="60"/>
      <c r="M509" s="60">
        <f>Table5[[#This Row],[الاجمالي]]-Table5[[#This Row],[المبلغ المدفوع]]</f>
        <v>4000</v>
      </c>
      <c r="N509" s="60"/>
    </row>
    <row r="510" spans="1:14" hidden="1" x14ac:dyDescent="0.3">
      <c r="A510" s="52">
        <f t="shared" si="5"/>
        <v>506</v>
      </c>
      <c r="B510" s="74"/>
      <c r="C510" s="75"/>
      <c r="D510" s="74"/>
      <c r="E510" s="60"/>
      <c r="F510" s="76"/>
      <c r="G510" s="60"/>
      <c r="H510" s="60"/>
      <c r="I510" s="60"/>
      <c r="J510" s="60">
        <f>Table5[[#This Row],[العدد]]*Table5[[#This Row],[الفئة]]</f>
        <v>0</v>
      </c>
      <c r="K51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10" s="60"/>
      <c r="M510" s="60">
        <f>Table5[[#This Row],[الاجمالي]]-Table5[[#This Row],[المبلغ المدفوع]]</f>
        <v>0</v>
      </c>
      <c r="N510" s="60"/>
    </row>
    <row r="511" spans="1:14" hidden="1" x14ac:dyDescent="0.3">
      <c r="A511" s="52">
        <f t="shared" si="5"/>
        <v>507</v>
      </c>
      <c r="B511" s="74" t="s">
        <v>19</v>
      </c>
      <c r="C511" s="75">
        <v>45329</v>
      </c>
      <c r="D511" s="74">
        <v>370</v>
      </c>
      <c r="E511" s="85">
        <v>180</v>
      </c>
      <c r="F511" s="76">
        <v>5</v>
      </c>
      <c r="G511" s="60">
        <v>40</v>
      </c>
      <c r="H511" s="60"/>
      <c r="I511" s="60"/>
      <c r="J511" s="60">
        <f>Table5[[#This Row],[العدد]]*Table5[[#This Row],[الفئة]]</f>
        <v>900</v>
      </c>
      <c r="K51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36000</v>
      </c>
      <c r="L511" s="60"/>
      <c r="M511" s="60">
        <f>Table5[[#This Row],[الاجمالي]]-Table5[[#This Row],[المبلغ المدفوع]]</f>
        <v>36000</v>
      </c>
      <c r="N511" s="85" t="s">
        <v>147</v>
      </c>
    </row>
    <row r="512" spans="1:14" hidden="1" x14ac:dyDescent="0.3">
      <c r="A512" s="52">
        <f t="shared" si="5"/>
        <v>508</v>
      </c>
      <c r="B512" s="74" t="s">
        <v>19</v>
      </c>
      <c r="C512" s="75">
        <v>45329</v>
      </c>
      <c r="D512" s="74">
        <v>370</v>
      </c>
      <c r="E512" s="60">
        <v>40</v>
      </c>
      <c r="F512" s="76">
        <v>0.8</v>
      </c>
      <c r="G512" s="60">
        <v>38</v>
      </c>
      <c r="H512" s="60"/>
      <c r="I512" s="60"/>
      <c r="J512" s="60">
        <f>Table5[[#This Row],[العدد]]*Table5[[#This Row],[الفئة]]</f>
        <v>32</v>
      </c>
      <c r="K51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1520</v>
      </c>
      <c r="L512" s="60"/>
      <c r="M512" s="60">
        <f>Table5[[#This Row],[الاجمالي]]-Table5[[#This Row],[المبلغ المدفوع]]</f>
        <v>1520</v>
      </c>
      <c r="N512" s="60"/>
    </row>
    <row r="513" spans="1:14" hidden="1" x14ac:dyDescent="0.3">
      <c r="A513" s="52">
        <f t="shared" si="5"/>
        <v>509</v>
      </c>
      <c r="B513" s="74"/>
      <c r="C513" s="75"/>
      <c r="D513" s="74"/>
      <c r="E513" s="60"/>
      <c r="F513" s="76"/>
      <c r="G513" s="60"/>
      <c r="H513" s="60"/>
      <c r="I513" s="60"/>
      <c r="J513" s="60">
        <f>Table5[[#This Row],[العدد]]*Table5[[#This Row],[الفئة]]</f>
        <v>0</v>
      </c>
      <c r="K51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13" s="60"/>
      <c r="M513" s="60">
        <f>Table5[[#This Row],[الاجمالي]]-Table5[[#This Row],[المبلغ المدفوع]]</f>
        <v>0</v>
      </c>
      <c r="N513" s="60"/>
    </row>
    <row r="514" spans="1:14" hidden="1" x14ac:dyDescent="0.3">
      <c r="A514" s="52">
        <f t="shared" si="5"/>
        <v>510</v>
      </c>
      <c r="B514" s="74" t="s">
        <v>136</v>
      </c>
      <c r="C514" s="75">
        <v>45359</v>
      </c>
      <c r="D514" s="74">
        <v>371</v>
      </c>
      <c r="E514" s="60">
        <v>46</v>
      </c>
      <c r="F514" s="76">
        <v>5</v>
      </c>
      <c r="G514" s="60">
        <v>40</v>
      </c>
      <c r="H514" s="60"/>
      <c r="I514" s="60"/>
      <c r="J514" s="60">
        <f>Table5[[#This Row],[العدد]]*Table5[[#This Row],[الفئة]]</f>
        <v>230</v>
      </c>
      <c r="K51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9200</v>
      </c>
      <c r="L514" s="60"/>
      <c r="M514" s="60">
        <f>Table5[[#This Row],[الاجمالي]]-Table5[[#This Row],[المبلغ المدفوع]]</f>
        <v>9200</v>
      </c>
      <c r="N514" s="60"/>
    </row>
    <row r="515" spans="1:14" hidden="1" x14ac:dyDescent="0.3">
      <c r="A515" s="52">
        <f t="shared" si="5"/>
        <v>511</v>
      </c>
      <c r="B515" s="74" t="s">
        <v>136</v>
      </c>
      <c r="C515" s="75">
        <v>45359</v>
      </c>
      <c r="D515" s="74">
        <v>371</v>
      </c>
      <c r="E515" s="60">
        <v>3</v>
      </c>
      <c r="F515" s="76">
        <v>10</v>
      </c>
      <c r="G515" s="60">
        <v>44</v>
      </c>
      <c r="H515" s="60"/>
      <c r="I515" s="60"/>
      <c r="J515" s="60">
        <f>Table5[[#This Row],[العدد]]*Table5[[#This Row],[الفئة]]</f>
        <v>30</v>
      </c>
      <c r="K51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1320</v>
      </c>
      <c r="L515" s="60"/>
      <c r="M515" s="60">
        <f>Table5[[#This Row],[الاجمالي]]-Table5[[#This Row],[المبلغ المدفوع]]</f>
        <v>1320</v>
      </c>
      <c r="N515" s="57" t="s">
        <v>78</v>
      </c>
    </row>
    <row r="516" spans="1:14" hidden="1" x14ac:dyDescent="0.3">
      <c r="A516" s="52">
        <f t="shared" si="5"/>
        <v>512</v>
      </c>
      <c r="B516" s="74" t="s">
        <v>136</v>
      </c>
      <c r="C516" s="75">
        <v>45359</v>
      </c>
      <c r="D516" s="74">
        <v>371</v>
      </c>
      <c r="E516" s="60">
        <v>1</v>
      </c>
      <c r="F516" s="76">
        <v>5</v>
      </c>
      <c r="G516" s="60">
        <v>44</v>
      </c>
      <c r="H516" s="60"/>
      <c r="I516" s="60"/>
      <c r="J516" s="60">
        <f>Table5[[#This Row],[العدد]]*Table5[[#This Row],[الفئة]]</f>
        <v>5</v>
      </c>
      <c r="K51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220</v>
      </c>
      <c r="L516" s="60"/>
      <c r="M516" s="60">
        <f>Table5[[#This Row],[الاجمالي]]-Table5[[#This Row],[المبلغ المدفوع]]</f>
        <v>220</v>
      </c>
      <c r="N516" s="57" t="s">
        <v>78</v>
      </c>
    </row>
    <row r="517" spans="1:14" hidden="1" x14ac:dyDescent="0.3">
      <c r="A517" s="52">
        <f t="shared" si="5"/>
        <v>513</v>
      </c>
      <c r="B517" s="74" t="s">
        <v>136</v>
      </c>
      <c r="C517" s="75">
        <v>45359</v>
      </c>
      <c r="D517" s="74">
        <v>371</v>
      </c>
      <c r="E517" s="60">
        <v>100</v>
      </c>
      <c r="F517" s="76">
        <v>1</v>
      </c>
      <c r="G517" s="60">
        <v>38</v>
      </c>
      <c r="H517" s="60"/>
      <c r="I517" s="60"/>
      <c r="J517" s="60">
        <f>Table5[[#This Row],[العدد]]*Table5[[#This Row],[الفئة]]</f>
        <v>100</v>
      </c>
      <c r="K51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3800</v>
      </c>
      <c r="L517" s="60"/>
      <c r="M517" s="60">
        <f>Table5[[#This Row],[الاجمالي]]-Table5[[#This Row],[المبلغ المدفوع]]</f>
        <v>3800</v>
      </c>
      <c r="N517" s="60"/>
    </row>
    <row r="518" spans="1:14" hidden="1" x14ac:dyDescent="0.3">
      <c r="A518" s="52">
        <f t="shared" si="5"/>
        <v>514</v>
      </c>
      <c r="B518" s="74" t="s">
        <v>136</v>
      </c>
      <c r="C518" s="75">
        <v>45359</v>
      </c>
      <c r="D518" s="74">
        <v>371</v>
      </c>
      <c r="E518" s="60">
        <v>51</v>
      </c>
      <c r="F518" s="76">
        <v>1</v>
      </c>
      <c r="G518" s="60">
        <v>50</v>
      </c>
      <c r="H518" s="60"/>
      <c r="I518" s="60"/>
      <c r="J518" s="60">
        <f>Table5[[#This Row],[العدد]]*Table5[[#This Row],[الفئة]]</f>
        <v>51</v>
      </c>
      <c r="K51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2550</v>
      </c>
      <c r="L518" s="60"/>
      <c r="M518" s="60">
        <f>Table5[[#This Row],[الاجمالي]]-Table5[[#This Row],[المبلغ المدفوع]]</f>
        <v>2550</v>
      </c>
      <c r="N518" s="57" t="s">
        <v>139</v>
      </c>
    </row>
    <row r="519" spans="1:14" hidden="1" x14ac:dyDescent="0.3">
      <c r="A519" s="52">
        <f t="shared" si="5"/>
        <v>515</v>
      </c>
      <c r="B519" s="74" t="s">
        <v>136</v>
      </c>
      <c r="C519" s="75">
        <v>45359</v>
      </c>
      <c r="D519" s="74">
        <v>371</v>
      </c>
      <c r="E519" s="60">
        <v>60</v>
      </c>
      <c r="F519" s="76">
        <v>1</v>
      </c>
      <c r="G519" s="60">
        <v>50</v>
      </c>
      <c r="H519" s="60"/>
      <c r="I519" s="60"/>
      <c r="J519" s="60">
        <f>Table5[[#This Row],[العدد]]*Table5[[#This Row],[الفئة]]</f>
        <v>60</v>
      </c>
      <c r="K51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3000</v>
      </c>
      <c r="L519" s="60"/>
      <c r="M519" s="60">
        <f>Table5[[#This Row],[الاجمالي]]-Table5[[#This Row],[المبلغ المدفوع]]</f>
        <v>3000</v>
      </c>
      <c r="N519" s="60"/>
    </row>
    <row r="520" spans="1:14" hidden="1" x14ac:dyDescent="0.3">
      <c r="A520" s="52">
        <f t="shared" si="5"/>
        <v>516</v>
      </c>
      <c r="B520" s="74" t="s">
        <v>136</v>
      </c>
      <c r="C520" s="75">
        <v>45359</v>
      </c>
      <c r="D520" s="79" t="s">
        <v>137</v>
      </c>
      <c r="E520" s="60">
        <v>10</v>
      </c>
      <c r="F520" s="76">
        <v>2</v>
      </c>
      <c r="G520" s="60">
        <v>100</v>
      </c>
      <c r="H520" s="60"/>
      <c r="I520" s="60"/>
      <c r="J520" s="60">
        <f>Table5[[#This Row],[العدد]]*Table5[[#This Row],[الفئة]]</f>
        <v>20</v>
      </c>
      <c r="K52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2000</v>
      </c>
      <c r="L520" s="60"/>
      <c r="M520" s="60">
        <f>Table5[[#This Row],[الاجمالي]]-Table5[[#This Row],[المبلغ المدفوع]]</f>
        <v>2000</v>
      </c>
      <c r="N520" s="62" t="s">
        <v>138</v>
      </c>
    </row>
    <row r="521" spans="1:14" hidden="1" x14ac:dyDescent="0.3">
      <c r="A521" s="52">
        <f t="shared" si="5"/>
        <v>517</v>
      </c>
      <c r="B521" s="74"/>
      <c r="C521" s="75"/>
      <c r="D521" s="74"/>
      <c r="E521" s="60"/>
      <c r="F521" s="76"/>
      <c r="G521" s="60"/>
      <c r="H521" s="60"/>
      <c r="I521" s="60"/>
      <c r="J521" s="60">
        <f>Table5[[#This Row],[العدد]]*Table5[[#This Row],[الفئة]]</f>
        <v>0</v>
      </c>
      <c r="K52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1" s="60"/>
      <c r="M521" s="60">
        <f>Table5[[#This Row],[الاجمالي]]-Table5[[#This Row],[المبلغ المدفوع]]</f>
        <v>0</v>
      </c>
      <c r="N521" s="60"/>
    </row>
    <row r="522" spans="1:14" hidden="1" x14ac:dyDescent="0.3">
      <c r="A522" s="52">
        <f t="shared" si="5"/>
        <v>518</v>
      </c>
      <c r="B522" s="74" t="s">
        <v>89</v>
      </c>
      <c r="C522" s="75">
        <v>45348</v>
      </c>
      <c r="D522" s="74">
        <v>372</v>
      </c>
      <c r="E522" s="60">
        <v>70</v>
      </c>
      <c r="F522" s="76">
        <v>5</v>
      </c>
      <c r="G522" s="60">
        <v>40</v>
      </c>
      <c r="H522" s="60"/>
      <c r="I522" s="60"/>
      <c r="J522" s="60">
        <f>Table5[[#This Row],[العدد]]*Table5[[#This Row],[الفئة]]</f>
        <v>350</v>
      </c>
      <c r="K52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14000</v>
      </c>
      <c r="L522" s="60"/>
      <c r="M522" s="60">
        <f>Table5[[#This Row],[الاجمالي]]-Table5[[#This Row],[المبلغ المدفوع]]</f>
        <v>14000</v>
      </c>
      <c r="N522" s="60"/>
    </row>
    <row r="523" spans="1:14" hidden="1" x14ac:dyDescent="0.3">
      <c r="A523" s="52">
        <f t="shared" ref="A523:A586" si="6">A522+1</f>
        <v>519</v>
      </c>
      <c r="B523" s="74"/>
      <c r="C523" s="75"/>
      <c r="D523" s="74"/>
      <c r="E523" s="60"/>
      <c r="F523" s="76"/>
      <c r="G523" s="60"/>
      <c r="H523" s="60"/>
      <c r="I523" s="60"/>
      <c r="J523" s="60">
        <f>Table5[[#This Row],[العدد]]*Table5[[#This Row],[الفئة]]</f>
        <v>0</v>
      </c>
      <c r="K52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3" s="60"/>
      <c r="M523" s="60">
        <f>Table5[[#This Row],[الاجمالي]]-Table5[[#This Row],[المبلغ المدفوع]]</f>
        <v>0</v>
      </c>
      <c r="N523" s="60"/>
    </row>
    <row r="524" spans="1:14" hidden="1" x14ac:dyDescent="0.3">
      <c r="A524" s="52">
        <f t="shared" si="6"/>
        <v>520</v>
      </c>
      <c r="B524" s="55" t="s">
        <v>83</v>
      </c>
      <c r="C524" s="75">
        <v>45335</v>
      </c>
      <c r="D524" s="74">
        <v>168</v>
      </c>
      <c r="E524" s="60">
        <v>4800</v>
      </c>
      <c r="F524" s="76">
        <v>5</v>
      </c>
      <c r="G524" s="60">
        <v>34</v>
      </c>
      <c r="H524" s="60"/>
      <c r="I524" s="60"/>
      <c r="J524" s="60">
        <f>Table5[[#This Row],[العدد]]*Table5[[#This Row],[الفئة]]</f>
        <v>24000</v>
      </c>
      <c r="K52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816000</v>
      </c>
      <c r="L524" s="60"/>
      <c r="M524" s="60">
        <f>Table5[[#This Row],[الاجمالي]]-Table5[[#This Row],[المبلغ المدفوع]]</f>
        <v>816000</v>
      </c>
      <c r="N524" s="60"/>
    </row>
    <row r="525" spans="1:14" hidden="1" x14ac:dyDescent="0.3">
      <c r="A525" s="52">
        <f t="shared" si="6"/>
        <v>521</v>
      </c>
      <c r="B525" s="55" t="s">
        <v>83</v>
      </c>
      <c r="C525" s="75">
        <v>45335</v>
      </c>
      <c r="D525" s="74">
        <v>169</v>
      </c>
      <c r="E525" s="60">
        <v>4800</v>
      </c>
      <c r="F525" s="76">
        <v>5</v>
      </c>
      <c r="G525" s="60">
        <v>33</v>
      </c>
      <c r="H525" s="60"/>
      <c r="I525" s="60"/>
      <c r="J525" s="60">
        <f>Table5[[#This Row],[العدد]]*Table5[[#This Row],[الفئة]]</f>
        <v>24000</v>
      </c>
      <c r="K52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792000</v>
      </c>
      <c r="L525" s="60"/>
      <c r="M525" s="60">
        <f>Table5[[#This Row],[الاجمالي]]-Table5[[#This Row],[المبلغ المدفوع]]</f>
        <v>792000</v>
      </c>
      <c r="N525" s="60"/>
    </row>
    <row r="526" spans="1:14" hidden="1" x14ac:dyDescent="0.3">
      <c r="A526" s="52">
        <f t="shared" si="6"/>
        <v>522</v>
      </c>
      <c r="B526" s="74"/>
      <c r="C526" s="75"/>
      <c r="D526" s="74"/>
      <c r="E526" s="60"/>
      <c r="F526" s="76"/>
      <c r="G526" s="60"/>
      <c r="H526" s="60"/>
      <c r="I526" s="60"/>
      <c r="J526" s="60">
        <f>Table5[[#This Row],[العدد]]*Table5[[#This Row],[الفئة]]</f>
        <v>0</v>
      </c>
      <c r="K52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6" s="60"/>
      <c r="M526" s="60">
        <f>Table5[[#This Row],[الاجمالي]]-Table5[[#This Row],[المبلغ المدفوع]]</f>
        <v>0</v>
      </c>
      <c r="N526" s="60"/>
    </row>
    <row r="527" spans="1:14" hidden="1" x14ac:dyDescent="0.3">
      <c r="A527" s="52">
        <f t="shared" si="6"/>
        <v>523</v>
      </c>
      <c r="B527" s="74"/>
      <c r="C527" s="75"/>
      <c r="D527" s="74"/>
      <c r="E527" s="60"/>
      <c r="F527" s="76"/>
      <c r="G527" s="60"/>
      <c r="H527" s="60"/>
      <c r="I527" s="60"/>
      <c r="J527" s="60">
        <f>Table5[[#This Row],[العدد]]*Table5[[#This Row],[الفئة]]</f>
        <v>0</v>
      </c>
      <c r="K52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7" s="60"/>
      <c r="M527" s="60">
        <f>Table5[[#This Row],[الاجمالي]]-Table5[[#This Row],[المبلغ المدفوع]]</f>
        <v>0</v>
      </c>
      <c r="N527" s="60"/>
    </row>
    <row r="528" spans="1:14" hidden="1" x14ac:dyDescent="0.3">
      <c r="A528" s="52">
        <f t="shared" si="6"/>
        <v>524</v>
      </c>
      <c r="B528" s="74"/>
      <c r="C528" s="75"/>
      <c r="D528" s="74"/>
      <c r="E528" s="60"/>
      <c r="F528" s="76"/>
      <c r="G528" s="60"/>
      <c r="H528" s="60"/>
      <c r="I528" s="60"/>
      <c r="J528" s="60">
        <f>Table5[[#This Row],[العدد]]*Table5[[#This Row],[الفئة]]</f>
        <v>0</v>
      </c>
      <c r="K52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8" s="60"/>
      <c r="M528" s="60">
        <f>Table5[[#This Row],[الاجمالي]]-Table5[[#This Row],[المبلغ المدفوع]]</f>
        <v>0</v>
      </c>
      <c r="N528" s="60"/>
    </row>
    <row r="529" spans="1:14" hidden="1" x14ac:dyDescent="0.3">
      <c r="A529" s="52">
        <f t="shared" si="6"/>
        <v>525</v>
      </c>
      <c r="B529" s="74"/>
      <c r="C529" s="75"/>
      <c r="D529" s="74"/>
      <c r="E529" s="60"/>
      <c r="F529" s="76"/>
      <c r="G529" s="60"/>
      <c r="H529" s="60"/>
      <c r="I529" s="60"/>
      <c r="J529" s="60">
        <f>Table5[[#This Row],[العدد]]*Table5[[#This Row],[الفئة]]</f>
        <v>0</v>
      </c>
      <c r="K52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29" s="60"/>
      <c r="M529" s="60">
        <f>Table5[[#This Row],[الاجمالي]]-Table5[[#This Row],[المبلغ المدفوع]]</f>
        <v>0</v>
      </c>
      <c r="N529" s="60"/>
    </row>
    <row r="530" spans="1:14" hidden="1" x14ac:dyDescent="0.3">
      <c r="A530" s="52">
        <f t="shared" si="6"/>
        <v>526</v>
      </c>
      <c r="B530" s="74"/>
      <c r="C530" s="75"/>
      <c r="D530" s="74"/>
      <c r="E530" s="60"/>
      <c r="F530" s="76"/>
      <c r="G530" s="60"/>
      <c r="H530" s="60"/>
      <c r="I530" s="60"/>
      <c r="J530" s="60">
        <f>Table5[[#This Row],[العدد]]*Table5[[#This Row],[الفئة]]</f>
        <v>0</v>
      </c>
      <c r="K53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0" s="60"/>
      <c r="M530" s="60">
        <f>Table5[[#This Row],[الاجمالي]]-Table5[[#This Row],[المبلغ المدفوع]]</f>
        <v>0</v>
      </c>
      <c r="N530" s="60"/>
    </row>
    <row r="531" spans="1:14" hidden="1" x14ac:dyDescent="0.3">
      <c r="A531" s="52">
        <f t="shared" si="6"/>
        <v>527</v>
      </c>
      <c r="B531" s="74"/>
      <c r="C531" s="75"/>
      <c r="D531" s="74"/>
      <c r="E531" s="60"/>
      <c r="F531" s="76"/>
      <c r="G531" s="60"/>
      <c r="H531" s="60"/>
      <c r="I531" s="60"/>
      <c r="J531" s="60">
        <f>Table5[[#This Row],[العدد]]*Table5[[#This Row],[الفئة]]</f>
        <v>0</v>
      </c>
      <c r="K53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1" s="60"/>
      <c r="M531" s="60">
        <f>Table5[[#This Row],[الاجمالي]]-Table5[[#This Row],[المبلغ المدفوع]]</f>
        <v>0</v>
      </c>
      <c r="N531" s="60"/>
    </row>
    <row r="532" spans="1:14" hidden="1" x14ac:dyDescent="0.3">
      <c r="A532" s="52">
        <f t="shared" si="6"/>
        <v>528</v>
      </c>
      <c r="B532" s="74"/>
      <c r="C532" s="75"/>
      <c r="D532" s="74"/>
      <c r="E532" s="60"/>
      <c r="F532" s="76"/>
      <c r="G532" s="60"/>
      <c r="H532" s="60"/>
      <c r="I532" s="60"/>
      <c r="J532" s="60">
        <f>Table5[[#This Row],[العدد]]*Table5[[#This Row],[الفئة]]</f>
        <v>0</v>
      </c>
      <c r="K53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2" s="60"/>
      <c r="M532" s="60">
        <f>Table5[[#This Row],[الاجمالي]]-Table5[[#This Row],[المبلغ المدفوع]]</f>
        <v>0</v>
      </c>
      <c r="N532" s="60"/>
    </row>
    <row r="533" spans="1:14" hidden="1" x14ac:dyDescent="0.3">
      <c r="A533" s="52">
        <f t="shared" si="6"/>
        <v>529</v>
      </c>
      <c r="B533" s="74"/>
      <c r="C533" s="75"/>
      <c r="D533" s="74"/>
      <c r="E533" s="60"/>
      <c r="F533" s="76"/>
      <c r="G533" s="60"/>
      <c r="H533" s="60"/>
      <c r="I533" s="60"/>
      <c r="J533" s="60">
        <f>Table5[[#This Row],[العدد]]*Table5[[#This Row],[الفئة]]</f>
        <v>0</v>
      </c>
      <c r="K53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3" s="60"/>
      <c r="M533" s="60">
        <f>Table5[[#This Row],[الاجمالي]]-Table5[[#This Row],[المبلغ المدفوع]]</f>
        <v>0</v>
      </c>
      <c r="N533" s="60"/>
    </row>
    <row r="534" spans="1:14" hidden="1" x14ac:dyDescent="0.3">
      <c r="A534" s="52">
        <f t="shared" si="6"/>
        <v>530</v>
      </c>
      <c r="B534" s="74"/>
      <c r="C534" s="75"/>
      <c r="D534" s="74"/>
      <c r="E534" s="60"/>
      <c r="F534" s="76"/>
      <c r="G534" s="60"/>
      <c r="H534" s="60"/>
      <c r="I534" s="60"/>
      <c r="J534" s="60">
        <f>Table5[[#This Row],[العدد]]*Table5[[#This Row],[الفئة]]</f>
        <v>0</v>
      </c>
      <c r="K53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4" s="60"/>
      <c r="M534" s="60">
        <f>Table5[[#This Row],[الاجمالي]]-Table5[[#This Row],[المبلغ المدفوع]]</f>
        <v>0</v>
      </c>
      <c r="N534" s="60"/>
    </row>
    <row r="535" spans="1:14" hidden="1" x14ac:dyDescent="0.3">
      <c r="A535" s="52">
        <f t="shared" si="6"/>
        <v>531</v>
      </c>
      <c r="B535" s="74"/>
      <c r="C535" s="75"/>
      <c r="D535" s="74"/>
      <c r="E535" s="60"/>
      <c r="F535" s="76"/>
      <c r="G535" s="60"/>
      <c r="H535" s="60"/>
      <c r="I535" s="60"/>
      <c r="J535" s="60">
        <f>Table5[[#This Row],[العدد]]*Table5[[#This Row],[الفئة]]</f>
        <v>0</v>
      </c>
      <c r="K53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5" s="60"/>
      <c r="M535" s="60">
        <f>Table5[[#This Row],[الاجمالي]]-Table5[[#This Row],[المبلغ المدفوع]]</f>
        <v>0</v>
      </c>
      <c r="N535" s="60"/>
    </row>
    <row r="536" spans="1:14" hidden="1" x14ac:dyDescent="0.3">
      <c r="A536" s="52">
        <f t="shared" si="6"/>
        <v>532</v>
      </c>
      <c r="B536" s="74"/>
      <c r="C536" s="75"/>
      <c r="D536" s="74"/>
      <c r="E536" s="60"/>
      <c r="F536" s="76"/>
      <c r="G536" s="60"/>
      <c r="H536" s="60"/>
      <c r="I536" s="60"/>
      <c r="J536" s="60">
        <f>Table5[[#This Row],[العدد]]*Table5[[#This Row],[الفئة]]</f>
        <v>0</v>
      </c>
      <c r="K53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6" s="60"/>
      <c r="M536" s="60">
        <f>Table5[[#This Row],[الاجمالي]]-Table5[[#This Row],[المبلغ المدفوع]]</f>
        <v>0</v>
      </c>
      <c r="N536" s="60"/>
    </row>
    <row r="537" spans="1:14" hidden="1" x14ac:dyDescent="0.3">
      <c r="A537" s="52">
        <f t="shared" si="6"/>
        <v>533</v>
      </c>
      <c r="B537" s="74"/>
      <c r="C537" s="75"/>
      <c r="D537" s="74"/>
      <c r="E537" s="60"/>
      <c r="F537" s="76"/>
      <c r="G537" s="60"/>
      <c r="H537" s="60"/>
      <c r="I537" s="60"/>
      <c r="J537" s="60">
        <f>Table5[[#This Row],[العدد]]*Table5[[#This Row],[الفئة]]</f>
        <v>0</v>
      </c>
      <c r="K53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7" s="60"/>
      <c r="M537" s="60">
        <f>Table5[[#This Row],[الاجمالي]]-Table5[[#This Row],[المبلغ المدفوع]]</f>
        <v>0</v>
      </c>
      <c r="N537" s="60"/>
    </row>
    <row r="538" spans="1:14" hidden="1" x14ac:dyDescent="0.3">
      <c r="A538" s="52">
        <f t="shared" si="6"/>
        <v>534</v>
      </c>
      <c r="B538" s="74"/>
      <c r="C538" s="75"/>
      <c r="D538" s="74"/>
      <c r="E538" s="60"/>
      <c r="F538" s="76"/>
      <c r="G538" s="60"/>
      <c r="H538" s="60"/>
      <c r="I538" s="60"/>
      <c r="J538" s="60">
        <f>Table5[[#This Row],[العدد]]*Table5[[#This Row],[الفئة]]</f>
        <v>0</v>
      </c>
      <c r="K53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8" s="60"/>
      <c r="M538" s="60">
        <f>Table5[[#This Row],[الاجمالي]]-Table5[[#This Row],[المبلغ المدفوع]]</f>
        <v>0</v>
      </c>
      <c r="N538" s="60"/>
    </row>
    <row r="539" spans="1:14" hidden="1" x14ac:dyDescent="0.3">
      <c r="A539" s="52">
        <f t="shared" si="6"/>
        <v>535</v>
      </c>
      <c r="B539" s="74"/>
      <c r="C539" s="75"/>
      <c r="D539" s="74"/>
      <c r="E539" s="60"/>
      <c r="F539" s="76"/>
      <c r="G539" s="60"/>
      <c r="H539" s="60"/>
      <c r="I539" s="60"/>
      <c r="J539" s="60">
        <f>Table5[[#This Row],[العدد]]*Table5[[#This Row],[الفئة]]</f>
        <v>0</v>
      </c>
      <c r="K53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39" s="60"/>
      <c r="M539" s="60">
        <f>Table5[[#This Row],[الاجمالي]]-Table5[[#This Row],[المبلغ المدفوع]]</f>
        <v>0</v>
      </c>
      <c r="N539" s="60"/>
    </row>
    <row r="540" spans="1:14" hidden="1" x14ac:dyDescent="0.3">
      <c r="A540" s="52">
        <f t="shared" si="6"/>
        <v>536</v>
      </c>
      <c r="B540" s="74"/>
      <c r="C540" s="75"/>
      <c r="D540" s="74"/>
      <c r="E540" s="60"/>
      <c r="F540" s="76"/>
      <c r="G540" s="60"/>
      <c r="H540" s="60"/>
      <c r="I540" s="60"/>
      <c r="J540" s="60">
        <f>Table5[[#This Row],[العدد]]*Table5[[#This Row],[الفئة]]</f>
        <v>0</v>
      </c>
      <c r="K54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0" s="60"/>
      <c r="M540" s="60">
        <f>Table5[[#This Row],[الاجمالي]]-Table5[[#This Row],[المبلغ المدفوع]]</f>
        <v>0</v>
      </c>
      <c r="N540" s="60"/>
    </row>
    <row r="541" spans="1:14" hidden="1" x14ac:dyDescent="0.3">
      <c r="A541" s="52">
        <f t="shared" si="6"/>
        <v>537</v>
      </c>
      <c r="B541" s="74"/>
      <c r="C541" s="75"/>
      <c r="D541" s="74"/>
      <c r="E541" s="60"/>
      <c r="F541" s="76"/>
      <c r="G541" s="60"/>
      <c r="H541" s="60"/>
      <c r="I541" s="60"/>
      <c r="J541" s="60">
        <f>Table5[[#This Row],[العدد]]*Table5[[#This Row],[الفئة]]</f>
        <v>0</v>
      </c>
      <c r="K54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1" s="60"/>
      <c r="M541" s="60">
        <f>Table5[[#This Row],[الاجمالي]]-Table5[[#This Row],[المبلغ المدفوع]]</f>
        <v>0</v>
      </c>
      <c r="N541" s="60"/>
    </row>
    <row r="542" spans="1:14" hidden="1" x14ac:dyDescent="0.3">
      <c r="A542" s="52">
        <f t="shared" si="6"/>
        <v>538</v>
      </c>
      <c r="B542" s="74"/>
      <c r="C542" s="75"/>
      <c r="D542" s="74"/>
      <c r="E542" s="60"/>
      <c r="F542" s="76"/>
      <c r="G542" s="60"/>
      <c r="H542" s="60"/>
      <c r="I542" s="60"/>
      <c r="J542" s="60">
        <f>Table5[[#This Row],[العدد]]*Table5[[#This Row],[الفئة]]</f>
        <v>0</v>
      </c>
      <c r="K54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2" s="60"/>
      <c r="M542" s="60">
        <f>Table5[[#This Row],[الاجمالي]]-Table5[[#This Row],[المبلغ المدفوع]]</f>
        <v>0</v>
      </c>
      <c r="N542" s="60"/>
    </row>
    <row r="543" spans="1:14" hidden="1" x14ac:dyDescent="0.3">
      <c r="A543" s="52">
        <f t="shared" si="6"/>
        <v>539</v>
      </c>
      <c r="B543" s="74"/>
      <c r="C543" s="75"/>
      <c r="D543" s="74"/>
      <c r="E543" s="60"/>
      <c r="F543" s="76"/>
      <c r="G543" s="60"/>
      <c r="H543" s="60"/>
      <c r="I543" s="60"/>
      <c r="J543" s="60">
        <f>Table5[[#This Row],[العدد]]*Table5[[#This Row],[الفئة]]</f>
        <v>0</v>
      </c>
      <c r="K54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3" s="60"/>
      <c r="M543" s="60">
        <f>Table5[[#This Row],[الاجمالي]]-Table5[[#This Row],[المبلغ المدفوع]]</f>
        <v>0</v>
      </c>
      <c r="N543" s="60"/>
    </row>
    <row r="544" spans="1:14" hidden="1" x14ac:dyDescent="0.3">
      <c r="A544" s="52">
        <f t="shared" si="6"/>
        <v>540</v>
      </c>
      <c r="B544" s="74"/>
      <c r="C544" s="75"/>
      <c r="D544" s="74"/>
      <c r="E544" s="60"/>
      <c r="F544" s="76"/>
      <c r="G544" s="60"/>
      <c r="H544" s="60"/>
      <c r="I544" s="60"/>
      <c r="J544" s="60">
        <f>Table5[[#This Row],[العدد]]*Table5[[#This Row],[الفئة]]</f>
        <v>0</v>
      </c>
      <c r="K54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4" s="60"/>
      <c r="M544" s="60">
        <f>Table5[[#This Row],[الاجمالي]]-Table5[[#This Row],[المبلغ المدفوع]]</f>
        <v>0</v>
      </c>
      <c r="N544" s="60"/>
    </row>
    <row r="545" spans="1:14" hidden="1" x14ac:dyDescent="0.3">
      <c r="A545" s="52">
        <f t="shared" si="6"/>
        <v>541</v>
      </c>
      <c r="B545" s="74"/>
      <c r="C545" s="75"/>
      <c r="D545" s="74"/>
      <c r="E545" s="60"/>
      <c r="F545" s="76"/>
      <c r="G545" s="60"/>
      <c r="H545" s="60"/>
      <c r="I545" s="60"/>
      <c r="J545" s="60">
        <f>Table5[[#This Row],[العدد]]*Table5[[#This Row],[الفئة]]</f>
        <v>0</v>
      </c>
      <c r="K54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5" s="60"/>
      <c r="M545" s="60">
        <f>Table5[[#This Row],[الاجمالي]]-Table5[[#This Row],[المبلغ المدفوع]]</f>
        <v>0</v>
      </c>
      <c r="N545" s="60"/>
    </row>
    <row r="546" spans="1:14" hidden="1" x14ac:dyDescent="0.3">
      <c r="A546" s="52">
        <f t="shared" si="6"/>
        <v>542</v>
      </c>
      <c r="B546" s="74"/>
      <c r="C546" s="75"/>
      <c r="D546" s="74"/>
      <c r="E546" s="60"/>
      <c r="F546" s="76"/>
      <c r="G546" s="60"/>
      <c r="H546" s="60"/>
      <c r="I546" s="60"/>
      <c r="J546" s="60">
        <f>Table5[[#This Row],[العدد]]*Table5[[#This Row],[الفئة]]</f>
        <v>0</v>
      </c>
      <c r="K54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6" s="60"/>
      <c r="M546" s="60">
        <f>Table5[[#This Row],[الاجمالي]]-Table5[[#This Row],[المبلغ المدفوع]]</f>
        <v>0</v>
      </c>
      <c r="N546" s="60"/>
    </row>
    <row r="547" spans="1:14" hidden="1" x14ac:dyDescent="0.3">
      <c r="A547" s="52">
        <f t="shared" si="6"/>
        <v>543</v>
      </c>
      <c r="B547" s="74"/>
      <c r="C547" s="75"/>
      <c r="D547" s="74"/>
      <c r="E547" s="60"/>
      <c r="F547" s="76"/>
      <c r="G547" s="60"/>
      <c r="H547" s="60"/>
      <c r="I547" s="60"/>
      <c r="J547" s="60">
        <f>Table5[[#This Row],[العدد]]*Table5[[#This Row],[الفئة]]</f>
        <v>0</v>
      </c>
      <c r="K54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7" s="60"/>
      <c r="M547" s="60">
        <f>Table5[[#This Row],[الاجمالي]]-Table5[[#This Row],[المبلغ المدفوع]]</f>
        <v>0</v>
      </c>
      <c r="N547" s="60"/>
    </row>
    <row r="548" spans="1:14" hidden="1" x14ac:dyDescent="0.3">
      <c r="A548" s="52">
        <f t="shared" si="6"/>
        <v>544</v>
      </c>
      <c r="B548" s="74"/>
      <c r="C548" s="75"/>
      <c r="D548" s="74"/>
      <c r="E548" s="60"/>
      <c r="F548" s="76"/>
      <c r="G548" s="60"/>
      <c r="H548" s="60"/>
      <c r="I548" s="60"/>
      <c r="J548" s="60">
        <f>Table5[[#This Row],[العدد]]*Table5[[#This Row],[الفئة]]</f>
        <v>0</v>
      </c>
      <c r="K54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8" s="60"/>
      <c r="M548" s="60">
        <f>Table5[[#This Row],[الاجمالي]]-Table5[[#This Row],[المبلغ المدفوع]]</f>
        <v>0</v>
      </c>
      <c r="N548" s="60"/>
    </row>
    <row r="549" spans="1:14" hidden="1" x14ac:dyDescent="0.3">
      <c r="A549" s="52">
        <f t="shared" si="6"/>
        <v>545</v>
      </c>
      <c r="B549" s="74"/>
      <c r="C549" s="75"/>
      <c r="D549" s="74"/>
      <c r="E549" s="60"/>
      <c r="F549" s="76"/>
      <c r="G549" s="60"/>
      <c r="H549" s="60"/>
      <c r="I549" s="60"/>
      <c r="J549" s="60">
        <f>Table5[[#This Row],[العدد]]*Table5[[#This Row],[الفئة]]</f>
        <v>0</v>
      </c>
      <c r="K54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49" s="60"/>
      <c r="M549" s="60">
        <f>Table5[[#This Row],[الاجمالي]]-Table5[[#This Row],[المبلغ المدفوع]]</f>
        <v>0</v>
      </c>
      <c r="N549" s="60"/>
    </row>
    <row r="550" spans="1:14" hidden="1" x14ac:dyDescent="0.3">
      <c r="A550" s="52">
        <f t="shared" si="6"/>
        <v>546</v>
      </c>
      <c r="B550" s="74"/>
      <c r="C550" s="75"/>
      <c r="D550" s="74"/>
      <c r="E550" s="60"/>
      <c r="F550" s="76"/>
      <c r="G550" s="60"/>
      <c r="H550" s="60"/>
      <c r="I550" s="60"/>
      <c r="J550" s="60">
        <f>Table5[[#This Row],[العدد]]*Table5[[#This Row],[الفئة]]</f>
        <v>0</v>
      </c>
      <c r="K55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0" s="60"/>
      <c r="M550" s="60">
        <f>Table5[[#This Row],[الاجمالي]]-Table5[[#This Row],[المبلغ المدفوع]]</f>
        <v>0</v>
      </c>
      <c r="N550" s="60"/>
    </row>
    <row r="551" spans="1:14" hidden="1" x14ac:dyDescent="0.3">
      <c r="A551" s="52">
        <f t="shared" si="6"/>
        <v>547</v>
      </c>
      <c r="B551" s="74"/>
      <c r="C551" s="75"/>
      <c r="D551" s="74"/>
      <c r="E551" s="60"/>
      <c r="F551" s="76"/>
      <c r="G551" s="60"/>
      <c r="H551" s="60"/>
      <c r="I551" s="60"/>
      <c r="J551" s="60">
        <f>Table5[[#This Row],[العدد]]*Table5[[#This Row],[الفئة]]</f>
        <v>0</v>
      </c>
      <c r="K55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1" s="60"/>
      <c r="M551" s="60">
        <f>Table5[[#This Row],[الاجمالي]]-Table5[[#This Row],[المبلغ المدفوع]]</f>
        <v>0</v>
      </c>
      <c r="N551" s="60"/>
    </row>
    <row r="552" spans="1:14" hidden="1" x14ac:dyDescent="0.3">
      <c r="A552" s="52">
        <f t="shared" si="6"/>
        <v>548</v>
      </c>
      <c r="B552" s="74"/>
      <c r="C552" s="75"/>
      <c r="D552" s="74"/>
      <c r="E552" s="60"/>
      <c r="F552" s="76"/>
      <c r="G552" s="60"/>
      <c r="H552" s="60"/>
      <c r="I552" s="60"/>
      <c r="J552" s="60">
        <f>Table5[[#This Row],[العدد]]*Table5[[#This Row],[الفئة]]</f>
        <v>0</v>
      </c>
      <c r="K55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2" s="60"/>
      <c r="M552" s="60">
        <f>Table5[[#This Row],[الاجمالي]]-Table5[[#This Row],[المبلغ المدفوع]]</f>
        <v>0</v>
      </c>
      <c r="N552" s="60"/>
    </row>
    <row r="553" spans="1:14" hidden="1" x14ac:dyDescent="0.3">
      <c r="A553" s="52">
        <f t="shared" si="6"/>
        <v>549</v>
      </c>
      <c r="B553" s="74"/>
      <c r="C553" s="75"/>
      <c r="D553" s="74"/>
      <c r="E553" s="60"/>
      <c r="F553" s="76"/>
      <c r="G553" s="60"/>
      <c r="H553" s="60"/>
      <c r="I553" s="60"/>
      <c r="J553" s="60">
        <f>Table5[[#This Row],[العدد]]*Table5[[#This Row],[الفئة]]</f>
        <v>0</v>
      </c>
      <c r="K55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3" s="60"/>
      <c r="M553" s="60">
        <f>Table5[[#This Row],[الاجمالي]]-Table5[[#This Row],[المبلغ المدفوع]]</f>
        <v>0</v>
      </c>
      <c r="N553" s="60"/>
    </row>
    <row r="554" spans="1:14" hidden="1" x14ac:dyDescent="0.3">
      <c r="A554" s="52">
        <f t="shared" si="6"/>
        <v>550</v>
      </c>
      <c r="B554" s="74"/>
      <c r="C554" s="75"/>
      <c r="D554" s="74"/>
      <c r="E554" s="60"/>
      <c r="F554" s="76"/>
      <c r="G554" s="60"/>
      <c r="H554" s="60"/>
      <c r="I554" s="60"/>
      <c r="J554" s="60">
        <f>Table5[[#This Row],[العدد]]*Table5[[#This Row],[الفئة]]</f>
        <v>0</v>
      </c>
      <c r="K55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4" s="60"/>
      <c r="M554" s="60">
        <f>Table5[[#This Row],[الاجمالي]]-Table5[[#This Row],[المبلغ المدفوع]]</f>
        <v>0</v>
      </c>
      <c r="N554" s="60"/>
    </row>
    <row r="555" spans="1:14" hidden="1" x14ac:dyDescent="0.3">
      <c r="A555" s="52">
        <f t="shared" si="6"/>
        <v>551</v>
      </c>
      <c r="B555" s="74"/>
      <c r="C555" s="75"/>
      <c r="D555" s="74"/>
      <c r="E555" s="60"/>
      <c r="F555" s="76"/>
      <c r="G555" s="60"/>
      <c r="H555" s="60"/>
      <c r="I555" s="60"/>
      <c r="J555" s="60">
        <f>Table5[[#This Row],[العدد]]*Table5[[#This Row],[الفئة]]</f>
        <v>0</v>
      </c>
      <c r="K55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5" s="60"/>
      <c r="M555" s="60">
        <f>Table5[[#This Row],[الاجمالي]]-Table5[[#This Row],[المبلغ المدفوع]]</f>
        <v>0</v>
      </c>
      <c r="N555" s="60"/>
    </row>
    <row r="556" spans="1:14" hidden="1" x14ac:dyDescent="0.3">
      <c r="A556" s="52">
        <f t="shared" si="6"/>
        <v>552</v>
      </c>
      <c r="B556" s="74"/>
      <c r="C556" s="75"/>
      <c r="D556" s="74"/>
      <c r="E556" s="60"/>
      <c r="F556" s="76"/>
      <c r="G556" s="60"/>
      <c r="H556" s="60"/>
      <c r="I556" s="60"/>
      <c r="J556" s="60">
        <f>Table5[[#This Row],[العدد]]*Table5[[#This Row],[الفئة]]</f>
        <v>0</v>
      </c>
      <c r="K55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6" s="60"/>
      <c r="M556" s="60">
        <f>Table5[[#This Row],[الاجمالي]]-Table5[[#This Row],[المبلغ المدفوع]]</f>
        <v>0</v>
      </c>
      <c r="N556" s="60"/>
    </row>
    <row r="557" spans="1:14" hidden="1" x14ac:dyDescent="0.3">
      <c r="A557" s="52">
        <f t="shared" si="6"/>
        <v>553</v>
      </c>
      <c r="B557" s="74"/>
      <c r="C557" s="75"/>
      <c r="D557" s="74"/>
      <c r="E557" s="60"/>
      <c r="F557" s="76"/>
      <c r="G557" s="60"/>
      <c r="H557" s="60"/>
      <c r="I557" s="60"/>
      <c r="J557" s="60">
        <f>Table5[[#This Row],[العدد]]*Table5[[#This Row],[الفئة]]</f>
        <v>0</v>
      </c>
      <c r="K55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7" s="60"/>
      <c r="M557" s="60">
        <f>Table5[[#This Row],[الاجمالي]]-Table5[[#This Row],[المبلغ المدفوع]]</f>
        <v>0</v>
      </c>
      <c r="N557" s="60"/>
    </row>
    <row r="558" spans="1:14" hidden="1" x14ac:dyDescent="0.3">
      <c r="A558" s="52">
        <f t="shared" si="6"/>
        <v>554</v>
      </c>
      <c r="B558" s="74"/>
      <c r="C558" s="75"/>
      <c r="D558" s="74"/>
      <c r="E558" s="60"/>
      <c r="F558" s="76"/>
      <c r="G558" s="60"/>
      <c r="H558" s="60"/>
      <c r="I558" s="60"/>
      <c r="J558" s="60">
        <f>Table5[[#This Row],[العدد]]*Table5[[#This Row],[الفئة]]</f>
        <v>0</v>
      </c>
      <c r="K55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8" s="60"/>
      <c r="M558" s="60">
        <f>Table5[[#This Row],[الاجمالي]]-Table5[[#This Row],[المبلغ المدفوع]]</f>
        <v>0</v>
      </c>
      <c r="N558" s="60"/>
    </row>
    <row r="559" spans="1:14" hidden="1" x14ac:dyDescent="0.3">
      <c r="A559" s="52">
        <f t="shared" si="6"/>
        <v>555</v>
      </c>
      <c r="B559" s="74"/>
      <c r="C559" s="75"/>
      <c r="D559" s="74"/>
      <c r="E559" s="60"/>
      <c r="F559" s="76"/>
      <c r="G559" s="60"/>
      <c r="H559" s="60"/>
      <c r="I559" s="60"/>
      <c r="J559" s="60">
        <f>Table5[[#This Row],[العدد]]*Table5[[#This Row],[الفئة]]</f>
        <v>0</v>
      </c>
      <c r="K55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59" s="60"/>
      <c r="M559" s="60">
        <f>Table5[[#This Row],[الاجمالي]]-Table5[[#This Row],[المبلغ المدفوع]]</f>
        <v>0</v>
      </c>
      <c r="N559" s="60"/>
    </row>
    <row r="560" spans="1:14" hidden="1" x14ac:dyDescent="0.3">
      <c r="A560" s="52">
        <f t="shared" si="6"/>
        <v>556</v>
      </c>
      <c r="B560" s="74"/>
      <c r="C560" s="75"/>
      <c r="D560" s="74"/>
      <c r="E560" s="60"/>
      <c r="F560" s="76"/>
      <c r="G560" s="60"/>
      <c r="H560" s="60"/>
      <c r="I560" s="60"/>
      <c r="J560" s="60">
        <f>Table5[[#This Row],[العدد]]*Table5[[#This Row],[الفئة]]</f>
        <v>0</v>
      </c>
      <c r="K56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0" s="60"/>
      <c r="M560" s="60">
        <f>Table5[[#This Row],[الاجمالي]]-Table5[[#This Row],[المبلغ المدفوع]]</f>
        <v>0</v>
      </c>
      <c r="N560" s="60"/>
    </row>
    <row r="561" spans="1:14" hidden="1" x14ac:dyDescent="0.3">
      <c r="A561" s="52">
        <f t="shared" si="6"/>
        <v>557</v>
      </c>
      <c r="B561" s="74"/>
      <c r="C561" s="75"/>
      <c r="D561" s="74"/>
      <c r="E561" s="60"/>
      <c r="F561" s="76"/>
      <c r="G561" s="60"/>
      <c r="H561" s="60"/>
      <c r="I561" s="60"/>
      <c r="J561" s="60">
        <f>Table5[[#This Row],[العدد]]*Table5[[#This Row],[الفئة]]</f>
        <v>0</v>
      </c>
      <c r="K56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1" s="60"/>
      <c r="M561" s="60">
        <f>Table5[[#This Row],[الاجمالي]]-Table5[[#This Row],[المبلغ المدفوع]]</f>
        <v>0</v>
      </c>
      <c r="N561" s="60"/>
    </row>
    <row r="562" spans="1:14" hidden="1" x14ac:dyDescent="0.3">
      <c r="A562" s="52">
        <f t="shared" si="6"/>
        <v>558</v>
      </c>
      <c r="B562" s="74"/>
      <c r="C562" s="75"/>
      <c r="D562" s="74"/>
      <c r="E562" s="60"/>
      <c r="F562" s="76"/>
      <c r="G562" s="60"/>
      <c r="H562" s="60"/>
      <c r="I562" s="60"/>
      <c r="J562" s="60">
        <f>Table5[[#This Row],[العدد]]*Table5[[#This Row],[الفئة]]</f>
        <v>0</v>
      </c>
      <c r="K56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2" s="60"/>
      <c r="M562" s="60">
        <f>Table5[[#This Row],[الاجمالي]]-Table5[[#This Row],[المبلغ المدفوع]]</f>
        <v>0</v>
      </c>
      <c r="N562" s="60"/>
    </row>
    <row r="563" spans="1:14" hidden="1" x14ac:dyDescent="0.3">
      <c r="A563" s="52">
        <f t="shared" si="6"/>
        <v>559</v>
      </c>
      <c r="B563" s="74"/>
      <c r="C563" s="75"/>
      <c r="D563" s="74"/>
      <c r="E563" s="60"/>
      <c r="F563" s="76"/>
      <c r="G563" s="60"/>
      <c r="H563" s="60"/>
      <c r="I563" s="60"/>
      <c r="J563" s="60">
        <f>Table5[[#This Row],[العدد]]*Table5[[#This Row],[الفئة]]</f>
        <v>0</v>
      </c>
      <c r="K56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3" s="60"/>
      <c r="M563" s="60">
        <f>Table5[[#This Row],[الاجمالي]]-Table5[[#This Row],[المبلغ المدفوع]]</f>
        <v>0</v>
      </c>
      <c r="N563" s="60"/>
    </row>
    <row r="564" spans="1:14" hidden="1" x14ac:dyDescent="0.3">
      <c r="A564" s="52">
        <f t="shared" si="6"/>
        <v>560</v>
      </c>
      <c r="B564" s="74"/>
      <c r="C564" s="75"/>
      <c r="D564" s="74"/>
      <c r="E564" s="60"/>
      <c r="F564" s="76"/>
      <c r="G564" s="60"/>
      <c r="H564" s="60"/>
      <c r="I564" s="60"/>
      <c r="J564" s="60">
        <f>Table5[[#This Row],[العدد]]*Table5[[#This Row],[الفئة]]</f>
        <v>0</v>
      </c>
      <c r="K56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4" s="60"/>
      <c r="M564" s="60">
        <f>Table5[[#This Row],[الاجمالي]]-Table5[[#This Row],[المبلغ المدفوع]]</f>
        <v>0</v>
      </c>
      <c r="N564" s="60"/>
    </row>
    <row r="565" spans="1:14" hidden="1" x14ac:dyDescent="0.3">
      <c r="A565" s="52">
        <f t="shared" si="6"/>
        <v>561</v>
      </c>
      <c r="B565" s="74"/>
      <c r="C565" s="75"/>
      <c r="D565" s="74"/>
      <c r="E565" s="60"/>
      <c r="F565" s="76"/>
      <c r="G565" s="60"/>
      <c r="H565" s="60"/>
      <c r="I565" s="60"/>
      <c r="J565" s="60">
        <f>Table5[[#This Row],[العدد]]*Table5[[#This Row],[الفئة]]</f>
        <v>0</v>
      </c>
      <c r="K56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5" s="60"/>
      <c r="M565" s="60">
        <f>Table5[[#This Row],[الاجمالي]]-Table5[[#This Row],[المبلغ المدفوع]]</f>
        <v>0</v>
      </c>
      <c r="N565" s="60"/>
    </row>
    <row r="566" spans="1:14" hidden="1" x14ac:dyDescent="0.3">
      <c r="A566" s="52">
        <f t="shared" si="6"/>
        <v>562</v>
      </c>
      <c r="B566" s="74"/>
      <c r="C566" s="75"/>
      <c r="D566" s="74"/>
      <c r="E566" s="60"/>
      <c r="F566" s="76"/>
      <c r="G566" s="60"/>
      <c r="H566" s="60"/>
      <c r="I566" s="60"/>
      <c r="J566" s="60">
        <f>Table5[[#This Row],[العدد]]*Table5[[#This Row],[الفئة]]</f>
        <v>0</v>
      </c>
      <c r="K56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6" s="60"/>
      <c r="M566" s="60">
        <f>Table5[[#This Row],[الاجمالي]]-Table5[[#This Row],[المبلغ المدفوع]]</f>
        <v>0</v>
      </c>
      <c r="N566" s="60"/>
    </row>
    <row r="567" spans="1:14" hidden="1" x14ac:dyDescent="0.3">
      <c r="A567" s="52">
        <f t="shared" si="6"/>
        <v>563</v>
      </c>
      <c r="B567" s="74"/>
      <c r="C567" s="75"/>
      <c r="D567" s="74"/>
      <c r="E567" s="60"/>
      <c r="F567" s="76"/>
      <c r="G567" s="60"/>
      <c r="H567" s="60"/>
      <c r="I567" s="60"/>
      <c r="J567" s="60">
        <f>Table5[[#This Row],[العدد]]*Table5[[#This Row],[الفئة]]</f>
        <v>0</v>
      </c>
      <c r="K56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7" s="60"/>
      <c r="M567" s="60">
        <f>Table5[[#This Row],[الاجمالي]]-Table5[[#This Row],[المبلغ المدفوع]]</f>
        <v>0</v>
      </c>
      <c r="N567" s="60"/>
    </row>
    <row r="568" spans="1:14" hidden="1" x14ac:dyDescent="0.3">
      <c r="A568" s="52">
        <f t="shared" si="6"/>
        <v>564</v>
      </c>
      <c r="B568" s="74"/>
      <c r="C568" s="75"/>
      <c r="D568" s="74"/>
      <c r="E568" s="60"/>
      <c r="F568" s="76"/>
      <c r="G568" s="60"/>
      <c r="H568" s="60"/>
      <c r="I568" s="60"/>
      <c r="J568" s="60">
        <f>Table5[[#This Row],[العدد]]*Table5[[#This Row],[الفئة]]</f>
        <v>0</v>
      </c>
      <c r="K56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8" s="60"/>
      <c r="M568" s="60">
        <f>Table5[[#This Row],[الاجمالي]]-Table5[[#This Row],[المبلغ المدفوع]]</f>
        <v>0</v>
      </c>
      <c r="N568" s="60"/>
    </row>
    <row r="569" spans="1:14" hidden="1" x14ac:dyDescent="0.3">
      <c r="A569" s="52">
        <f t="shared" si="6"/>
        <v>565</v>
      </c>
      <c r="B569" s="74"/>
      <c r="C569" s="75"/>
      <c r="D569" s="74"/>
      <c r="E569" s="60"/>
      <c r="F569" s="76"/>
      <c r="G569" s="60"/>
      <c r="H569" s="60"/>
      <c r="I569" s="60"/>
      <c r="J569" s="60">
        <f>Table5[[#This Row],[العدد]]*Table5[[#This Row],[الفئة]]</f>
        <v>0</v>
      </c>
      <c r="K56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69" s="60"/>
      <c r="M569" s="60">
        <f>Table5[[#This Row],[الاجمالي]]-Table5[[#This Row],[المبلغ المدفوع]]</f>
        <v>0</v>
      </c>
      <c r="N569" s="60"/>
    </row>
    <row r="570" spans="1:14" hidden="1" x14ac:dyDescent="0.3">
      <c r="A570" s="52">
        <f t="shared" si="6"/>
        <v>566</v>
      </c>
      <c r="B570" s="74"/>
      <c r="C570" s="75"/>
      <c r="D570" s="74"/>
      <c r="E570" s="60"/>
      <c r="F570" s="76"/>
      <c r="G570" s="60"/>
      <c r="H570" s="60"/>
      <c r="I570" s="60"/>
      <c r="J570" s="60">
        <f>Table5[[#This Row],[العدد]]*Table5[[#This Row],[الفئة]]</f>
        <v>0</v>
      </c>
      <c r="K57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0" s="60"/>
      <c r="M570" s="60">
        <f>Table5[[#This Row],[الاجمالي]]-Table5[[#This Row],[المبلغ المدفوع]]</f>
        <v>0</v>
      </c>
      <c r="N570" s="60"/>
    </row>
    <row r="571" spans="1:14" hidden="1" x14ac:dyDescent="0.3">
      <c r="A571" s="52">
        <f t="shared" si="6"/>
        <v>567</v>
      </c>
      <c r="B571" s="74"/>
      <c r="C571" s="75"/>
      <c r="D571" s="74"/>
      <c r="E571" s="60"/>
      <c r="F571" s="76"/>
      <c r="G571" s="60"/>
      <c r="H571" s="60"/>
      <c r="I571" s="60"/>
      <c r="J571" s="60">
        <f>Table5[[#This Row],[العدد]]*Table5[[#This Row],[الفئة]]</f>
        <v>0</v>
      </c>
      <c r="K57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1" s="60"/>
      <c r="M571" s="60">
        <f>Table5[[#This Row],[الاجمالي]]-Table5[[#This Row],[المبلغ المدفوع]]</f>
        <v>0</v>
      </c>
      <c r="N571" s="60"/>
    </row>
    <row r="572" spans="1:14" hidden="1" x14ac:dyDescent="0.3">
      <c r="A572" s="52">
        <f t="shared" si="6"/>
        <v>568</v>
      </c>
      <c r="B572" s="74"/>
      <c r="C572" s="75"/>
      <c r="D572" s="74"/>
      <c r="E572" s="60"/>
      <c r="F572" s="76"/>
      <c r="G572" s="60"/>
      <c r="H572" s="60"/>
      <c r="I572" s="60"/>
      <c r="J572" s="60">
        <f>Table5[[#This Row],[العدد]]*Table5[[#This Row],[الفئة]]</f>
        <v>0</v>
      </c>
      <c r="K57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2" s="60"/>
      <c r="M572" s="60">
        <f>Table5[[#This Row],[الاجمالي]]-Table5[[#This Row],[المبلغ المدفوع]]</f>
        <v>0</v>
      </c>
      <c r="N572" s="60"/>
    </row>
    <row r="573" spans="1:14" hidden="1" x14ac:dyDescent="0.3">
      <c r="A573" s="52">
        <f t="shared" si="6"/>
        <v>569</v>
      </c>
      <c r="B573" s="74"/>
      <c r="C573" s="75"/>
      <c r="D573" s="74"/>
      <c r="E573" s="60"/>
      <c r="F573" s="76"/>
      <c r="G573" s="60"/>
      <c r="H573" s="60"/>
      <c r="I573" s="60"/>
      <c r="J573" s="60">
        <f>Table5[[#This Row],[العدد]]*Table5[[#This Row],[الفئة]]</f>
        <v>0</v>
      </c>
      <c r="K57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3" s="60"/>
      <c r="M573" s="60">
        <f>Table5[[#This Row],[الاجمالي]]-Table5[[#This Row],[المبلغ المدفوع]]</f>
        <v>0</v>
      </c>
      <c r="N573" s="60"/>
    </row>
    <row r="574" spans="1:14" hidden="1" x14ac:dyDescent="0.3">
      <c r="A574" s="52">
        <f t="shared" si="6"/>
        <v>570</v>
      </c>
      <c r="B574" s="74"/>
      <c r="C574" s="75"/>
      <c r="D574" s="74"/>
      <c r="E574" s="60"/>
      <c r="F574" s="76"/>
      <c r="G574" s="60"/>
      <c r="H574" s="60"/>
      <c r="I574" s="60"/>
      <c r="J574" s="60">
        <f>Table5[[#This Row],[العدد]]*Table5[[#This Row],[الفئة]]</f>
        <v>0</v>
      </c>
      <c r="K57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4" s="60"/>
      <c r="M574" s="60">
        <f>Table5[[#This Row],[الاجمالي]]-Table5[[#This Row],[المبلغ المدفوع]]</f>
        <v>0</v>
      </c>
      <c r="N574" s="60"/>
    </row>
    <row r="575" spans="1:14" hidden="1" x14ac:dyDescent="0.3">
      <c r="A575" s="52">
        <f t="shared" si="6"/>
        <v>571</v>
      </c>
      <c r="B575" s="74"/>
      <c r="C575" s="75"/>
      <c r="D575" s="74"/>
      <c r="E575" s="60"/>
      <c r="F575" s="76"/>
      <c r="G575" s="60"/>
      <c r="H575" s="60"/>
      <c r="I575" s="60"/>
      <c r="J575" s="60">
        <f>Table5[[#This Row],[العدد]]*Table5[[#This Row],[الفئة]]</f>
        <v>0</v>
      </c>
      <c r="K57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5" s="60"/>
      <c r="M575" s="60">
        <f>Table5[[#This Row],[الاجمالي]]-Table5[[#This Row],[المبلغ المدفوع]]</f>
        <v>0</v>
      </c>
      <c r="N575" s="60"/>
    </row>
    <row r="576" spans="1:14" hidden="1" x14ac:dyDescent="0.3">
      <c r="A576" s="52">
        <f t="shared" si="6"/>
        <v>572</v>
      </c>
      <c r="B576" s="74"/>
      <c r="C576" s="75"/>
      <c r="D576" s="74"/>
      <c r="E576" s="60"/>
      <c r="F576" s="76"/>
      <c r="G576" s="60"/>
      <c r="H576" s="60"/>
      <c r="I576" s="60"/>
      <c r="J576" s="60">
        <f>Table5[[#This Row],[العدد]]*Table5[[#This Row],[الفئة]]</f>
        <v>0</v>
      </c>
      <c r="K57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6" s="60"/>
      <c r="M576" s="60">
        <f>Table5[[#This Row],[الاجمالي]]-Table5[[#This Row],[المبلغ المدفوع]]</f>
        <v>0</v>
      </c>
      <c r="N576" s="60"/>
    </row>
    <row r="577" spans="1:14" hidden="1" x14ac:dyDescent="0.3">
      <c r="A577" s="52">
        <f t="shared" si="6"/>
        <v>573</v>
      </c>
      <c r="B577" s="74"/>
      <c r="C577" s="75"/>
      <c r="D577" s="74"/>
      <c r="E577" s="60"/>
      <c r="F577" s="76"/>
      <c r="G577" s="60"/>
      <c r="H577" s="60"/>
      <c r="I577" s="60"/>
      <c r="J577" s="60">
        <f>Table5[[#This Row],[العدد]]*Table5[[#This Row],[الفئة]]</f>
        <v>0</v>
      </c>
      <c r="K57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7" s="60"/>
      <c r="M577" s="60">
        <f>Table5[[#This Row],[الاجمالي]]-Table5[[#This Row],[المبلغ المدفوع]]</f>
        <v>0</v>
      </c>
      <c r="N577" s="60"/>
    </row>
    <row r="578" spans="1:14" hidden="1" x14ac:dyDescent="0.3">
      <c r="A578" s="52">
        <f t="shared" si="6"/>
        <v>574</v>
      </c>
      <c r="B578" s="74"/>
      <c r="C578" s="75"/>
      <c r="D578" s="74"/>
      <c r="E578" s="60"/>
      <c r="F578" s="76"/>
      <c r="G578" s="60"/>
      <c r="H578" s="60"/>
      <c r="I578" s="60"/>
      <c r="J578" s="60">
        <f>Table5[[#This Row],[العدد]]*Table5[[#This Row],[الفئة]]</f>
        <v>0</v>
      </c>
      <c r="K57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8" s="60"/>
      <c r="M578" s="60">
        <f>Table5[[#This Row],[الاجمالي]]-Table5[[#This Row],[المبلغ المدفوع]]</f>
        <v>0</v>
      </c>
      <c r="N578" s="60"/>
    </row>
    <row r="579" spans="1:14" hidden="1" x14ac:dyDescent="0.3">
      <c r="A579" s="52">
        <f t="shared" si="6"/>
        <v>575</v>
      </c>
      <c r="B579" s="74"/>
      <c r="C579" s="75"/>
      <c r="D579" s="74"/>
      <c r="E579" s="60"/>
      <c r="F579" s="76"/>
      <c r="G579" s="60"/>
      <c r="H579" s="60"/>
      <c r="I579" s="60"/>
      <c r="J579" s="60">
        <f>Table5[[#This Row],[العدد]]*Table5[[#This Row],[الفئة]]</f>
        <v>0</v>
      </c>
      <c r="K57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79" s="60"/>
      <c r="M579" s="60">
        <f>Table5[[#This Row],[الاجمالي]]-Table5[[#This Row],[المبلغ المدفوع]]</f>
        <v>0</v>
      </c>
      <c r="N579" s="60"/>
    </row>
    <row r="580" spans="1:14" hidden="1" x14ac:dyDescent="0.3">
      <c r="A580" s="52">
        <f t="shared" si="6"/>
        <v>576</v>
      </c>
      <c r="B580" s="74"/>
      <c r="C580" s="75"/>
      <c r="D580" s="74"/>
      <c r="E580" s="60"/>
      <c r="F580" s="76"/>
      <c r="G580" s="60"/>
      <c r="H580" s="60"/>
      <c r="I580" s="60"/>
      <c r="J580" s="60">
        <f>Table5[[#This Row],[العدد]]*Table5[[#This Row],[الفئة]]</f>
        <v>0</v>
      </c>
      <c r="K58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0" s="60"/>
      <c r="M580" s="60">
        <f>Table5[[#This Row],[الاجمالي]]-Table5[[#This Row],[المبلغ المدفوع]]</f>
        <v>0</v>
      </c>
      <c r="N580" s="60"/>
    </row>
    <row r="581" spans="1:14" hidden="1" x14ac:dyDescent="0.3">
      <c r="A581" s="52">
        <f t="shared" si="6"/>
        <v>577</v>
      </c>
      <c r="B581" s="74"/>
      <c r="C581" s="75"/>
      <c r="D581" s="74"/>
      <c r="E581" s="60"/>
      <c r="F581" s="76"/>
      <c r="G581" s="60"/>
      <c r="H581" s="60"/>
      <c r="I581" s="60"/>
      <c r="J581" s="60">
        <f>Table5[[#This Row],[العدد]]*Table5[[#This Row],[الفئة]]</f>
        <v>0</v>
      </c>
      <c r="K58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1" s="60"/>
      <c r="M581" s="60">
        <f>Table5[[#This Row],[الاجمالي]]-Table5[[#This Row],[المبلغ المدفوع]]</f>
        <v>0</v>
      </c>
      <c r="N581" s="60"/>
    </row>
    <row r="582" spans="1:14" hidden="1" x14ac:dyDescent="0.3">
      <c r="A582" s="52">
        <f t="shared" si="6"/>
        <v>578</v>
      </c>
      <c r="B582" s="74"/>
      <c r="C582" s="75"/>
      <c r="D582" s="74"/>
      <c r="E582" s="60"/>
      <c r="F582" s="76"/>
      <c r="G582" s="60"/>
      <c r="H582" s="60"/>
      <c r="I582" s="60"/>
      <c r="J582" s="60">
        <f>Table5[[#This Row],[العدد]]*Table5[[#This Row],[الفئة]]</f>
        <v>0</v>
      </c>
      <c r="K58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2" s="60"/>
      <c r="M582" s="60">
        <f>Table5[[#This Row],[الاجمالي]]-Table5[[#This Row],[المبلغ المدفوع]]</f>
        <v>0</v>
      </c>
      <c r="N582" s="60"/>
    </row>
    <row r="583" spans="1:14" hidden="1" x14ac:dyDescent="0.3">
      <c r="A583" s="52">
        <f t="shared" si="6"/>
        <v>579</v>
      </c>
      <c r="B583" s="74"/>
      <c r="C583" s="75"/>
      <c r="D583" s="74"/>
      <c r="E583" s="60"/>
      <c r="F583" s="76"/>
      <c r="G583" s="60"/>
      <c r="H583" s="60"/>
      <c r="I583" s="60"/>
      <c r="J583" s="60">
        <f>Table5[[#This Row],[العدد]]*Table5[[#This Row],[الفئة]]</f>
        <v>0</v>
      </c>
      <c r="K58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3" s="60"/>
      <c r="M583" s="60">
        <f>Table5[[#This Row],[الاجمالي]]-Table5[[#This Row],[المبلغ المدفوع]]</f>
        <v>0</v>
      </c>
      <c r="N583" s="60"/>
    </row>
    <row r="584" spans="1:14" hidden="1" x14ac:dyDescent="0.3">
      <c r="A584" s="52">
        <f t="shared" si="6"/>
        <v>580</v>
      </c>
      <c r="B584" s="74"/>
      <c r="C584" s="75"/>
      <c r="D584" s="74"/>
      <c r="E584" s="60"/>
      <c r="F584" s="76"/>
      <c r="G584" s="60"/>
      <c r="H584" s="60"/>
      <c r="I584" s="60"/>
      <c r="J584" s="60">
        <f>Table5[[#This Row],[العدد]]*Table5[[#This Row],[الفئة]]</f>
        <v>0</v>
      </c>
      <c r="K58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4" s="60"/>
      <c r="M584" s="60">
        <f>Table5[[#This Row],[الاجمالي]]-Table5[[#This Row],[المبلغ المدفوع]]</f>
        <v>0</v>
      </c>
      <c r="N584" s="60"/>
    </row>
    <row r="585" spans="1:14" hidden="1" x14ac:dyDescent="0.3">
      <c r="A585" s="52">
        <f t="shared" si="6"/>
        <v>581</v>
      </c>
      <c r="B585" s="74"/>
      <c r="C585" s="75"/>
      <c r="D585" s="74"/>
      <c r="E585" s="60"/>
      <c r="F585" s="76"/>
      <c r="G585" s="60"/>
      <c r="H585" s="60"/>
      <c r="I585" s="60"/>
      <c r="J585" s="60">
        <f>Table5[[#This Row],[العدد]]*Table5[[#This Row],[الفئة]]</f>
        <v>0</v>
      </c>
      <c r="K58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5" s="60"/>
      <c r="M585" s="60">
        <f>Table5[[#This Row],[الاجمالي]]-Table5[[#This Row],[المبلغ المدفوع]]</f>
        <v>0</v>
      </c>
      <c r="N585" s="60"/>
    </row>
    <row r="586" spans="1:14" hidden="1" x14ac:dyDescent="0.3">
      <c r="A586" s="52">
        <f t="shared" si="6"/>
        <v>582</v>
      </c>
      <c r="B586" s="74"/>
      <c r="C586" s="75"/>
      <c r="D586" s="74"/>
      <c r="E586" s="60"/>
      <c r="F586" s="76"/>
      <c r="G586" s="60"/>
      <c r="H586" s="60"/>
      <c r="I586" s="60"/>
      <c r="J586" s="60">
        <f>Table5[[#This Row],[العدد]]*Table5[[#This Row],[الفئة]]</f>
        <v>0</v>
      </c>
      <c r="K58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6" s="60"/>
      <c r="M586" s="60">
        <f>Table5[[#This Row],[الاجمالي]]-Table5[[#This Row],[المبلغ المدفوع]]</f>
        <v>0</v>
      </c>
      <c r="N586" s="60"/>
    </row>
    <row r="587" spans="1:14" hidden="1" x14ac:dyDescent="0.3">
      <c r="A587" s="52">
        <f t="shared" ref="A587:A626" si="7">A586+1</f>
        <v>583</v>
      </c>
      <c r="B587" s="74"/>
      <c r="C587" s="75"/>
      <c r="D587" s="74"/>
      <c r="E587" s="60"/>
      <c r="F587" s="76"/>
      <c r="G587" s="60"/>
      <c r="H587" s="60"/>
      <c r="I587" s="60"/>
      <c r="J587" s="60">
        <f>Table5[[#This Row],[العدد]]*Table5[[#This Row],[الفئة]]</f>
        <v>0</v>
      </c>
      <c r="K58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7" s="60"/>
      <c r="M587" s="60">
        <f>Table5[[#This Row],[الاجمالي]]-Table5[[#This Row],[المبلغ المدفوع]]</f>
        <v>0</v>
      </c>
      <c r="N587" s="60"/>
    </row>
    <row r="588" spans="1:14" hidden="1" x14ac:dyDescent="0.3">
      <c r="A588" s="52">
        <f t="shared" si="7"/>
        <v>584</v>
      </c>
      <c r="B588" s="74"/>
      <c r="C588" s="75"/>
      <c r="D588" s="74"/>
      <c r="E588" s="60"/>
      <c r="F588" s="76"/>
      <c r="G588" s="60"/>
      <c r="H588" s="60"/>
      <c r="I588" s="60"/>
      <c r="J588" s="60">
        <f>Table5[[#This Row],[العدد]]*Table5[[#This Row],[الفئة]]</f>
        <v>0</v>
      </c>
      <c r="K58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8" s="60"/>
      <c r="M588" s="60">
        <f>Table5[[#This Row],[الاجمالي]]-Table5[[#This Row],[المبلغ المدفوع]]</f>
        <v>0</v>
      </c>
      <c r="N588" s="60"/>
    </row>
    <row r="589" spans="1:14" hidden="1" x14ac:dyDescent="0.3">
      <c r="A589" s="52">
        <f t="shared" si="7"/>
        <v>585</v>
      </c>
      <c r="B589" s="74"/>
      <c r="C589" s="75"/>
      <c r="D589" s="74"/>
      <c r="E589" s="60"/>
      <c r="F589" s="76"/>
      <c r="G589" s="60"/>
      <c r="H589" s="60"/>
      <c r="I589" s="60"/>
      <c r="J589" s="60">
        <f>Table5[[#This Row],[العدد]]*Table5[[#This Row],[الفئة]]</f>
        <v>0</v>
      </c>
      <c r="K58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89" s="60"/>
      <c r="M589" s="60">
        <f>Table5[[#This Row],[الاجمالي]]-Table5[[#This Row],[المبلغ المدفوع]]</f>
        <v>0</v>
      </c>
      <c r="N589" s="60"/>
    </row>
    <row r="590" spans="1:14" hidden="1" x14ac:dyDescent="0.3">
      <c r="A590" s="52">
        <f t="shared" si="7"/>
        <v>586</v>
      </c>
      <c r="B590" s="74"/>
      <c r="C590" s="75"/>
      <c r="D590" s="74"/>
      <c r="E590" s="60"/>
      <c r="F590" s="76"/>
      <c r="G590" s="60"/>
      <c r="H590" s="60"/>
      <c r="I590" s="60"/>
      <c r="J590" s="60">
        <f>Table5[[#This Row],[العدد]]*Table5[[#This Row],[الفئة]]</f>
        <v>0</v>
      </c>
      <c r="K59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0" s="60"/>
      <c r="M590" s="60">
        <f>Table5[[#This Row],[الاجمالي]]-Table5[[#This Row],[المبلغ المدفوع]]</f>
        <v>0</v>
      </c>
      <c r="N590" s="60"/>
    </row>
    <row r="591" spans="1:14" hidden="1" x14ac:dyDescent="0.3">
      <c r="A591" s="52">
        <f t="shared" si="7"/>
        <v>587</v>
      </c>
      <c r="B591" s="74"/>
      <c r="C591" s="75"/>
      <c r="D591" s="74"/>
      <c r="E591" s="60"/>
      <c r="F591" s="76"/>
      <c r="G591" s="60"/>
      <c r="H591" s="60"/>
      <c r="I591" s="60"/>
      <c r="J591" s="60">
        <f>Table5[[#This Row],[العدد]]*Table5[[#This Row],[الفئة]]</f>
        <v>0</v>
      </c>
      <c r="K59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1" s="60"/>
      <c r="M591" s="60">
        <f>Table5[[#This Row],[الاجمالي]]-Table5[[#This Row],[المبلغ المدفوع]]</f>
        <v>0</v>
      </c>
      <c r="N591" s="60"/>
    </row>
    <row r="592" spans="1:14" hidden="1" x14ac:dyDescent="0.3">
      <c r="A592" s="52">
        <f t="shared" si="7"/>
        <v>588</v>
      </c>
      <c r="B592" s="74"/>
      <c r="C592" s="75"/>
      <c r="D592" s="74"/>
      <c r="E592" s="60"/>
      <c r="F592" s="76"/>
      <c r="G592" s="60"/>
      <c r="H592" s="60"/>
      <c r="I592" s="60"/>
      <c r="J592" s="60">
        <f>Table5[[#This Row],[العدد]]*Table5[[#This Row],[الفئة]]</f>
        <v>0</v>
      </c>
      <c r="K59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2" s="60"/>
      <c r="M592" s="60">
        <f>Table5[[#This Row],[الاجمالي]]-Table5[[#This Row],[المبلغ المدفوع]]</f>
        <v>0</v>
      </c>
      <c r="N592" s="60"/>
    </row>
    <row r="593" spans="1:14" hidden="1" x14ac:dyDescent="0.3">
      <c r="A593" s="52">
        <f t="shared" si="7"/>
        <v>589</v>
      </c>
      <c r="B593" s="74"/>
      <c r="C593" s="75"/>
      <c r="D593" s="74"/>
      <c r="E593" s="60"/>
      <c r="F593" s="76"/>
      <c r="G593" s="60"/>
      <c r="H593" s="60"/>
      <c r="I593" s="60"/>
      <c r="J593" s="60">
        <f>Table5[[#This Row],[العدد]]*Table5[[#This Row],[الفئة]]</f>
        <v>0</v>
      </c>
      <c r="K59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3" s="60"/>
      <c r="M593" s="60">
        <f>Table5[[#This Row],[الاجمالي]]-Table5[[#This Row],[المبلغ المدفوع]]</f>
        <v>0</v>
      </c>
      <c r="N593" s="60"/>
    </row>
    <row r="594" spans="1:14" hidden="1" x14ac:dyDescent="0.3">
      <c r="A594" s="52">
        <f t="shared" si="7"/>
        <v>590</v>
      </c>
      <c r="B594" s="74"/>
      <c r="C594" s="75"/>
      <c r="D594" s="74"/>
      <c r="E594" s="60"/>
      <c r="F594" s="76"/>
      <c r="G594" s="60"/>
      <c r="H594" s="60"/>
      <c r="I594" s="60"/>
      <c r="J594" s="60">
        <f>Table5[[#This Row],[العدد]]*Table5[[#This Row],[الفئة]]</f>
        <v>0</v>
      </c>
      <c r="K59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4" s="60"/>
      <c r="M594" s="60">
        <f>Table5[[#This Row],[الاجمالي]]-Table5[[#This Row],[المبلغ المدفوع]]</f>
        <v>0</v>
      </c>
      <c r="N594" s="60"/>
    </row>
    <row r="595" spans="1:14" hidden="1" x14ac:dyDescent="0.3">
      <c r="A595" s="52">
        <f t="shared" si="7"/>
        <v>591</v>
      </c>
      <c r="B595" s="74"/>
      <c r="C595" s="75"/>
      <c r="D595" s="74"/>
      <c r="E595" s="60"/>
      <c r="F595" s="76"/>
      <c r="G595" s="60"/>
      <c r="H595" s="60"/>
      <c r="I595" s="60"/>
      <c r="J595" s="60">
        <f>Table5[[#This Row],[العدد]]*Table5[[#This Row],[الفئة]]</f>
        <v>0</v>
      </c>
      <c r="K59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5" s="60"/>
      <c r="M595" s="60">
        <f>Table5[[#This Row],[الاجمالي]]-Table5[[#This Row],[المبلغ المدفوع]]</f>
        <v>0</v>
      </c>
      <c r="N595" s="60"/>
    </row>
    <row r="596" spans="1:14" hidden="1" x14ac:dyDescent="0.3">
      <c r="A596" s="52">
        <f t="shared" si="7"/>
        <v>592</v>
      </c>
      <c r="B596" s="74"/>
      <c r="C596" s="75"/>
      <c r="D596" s="74"/>
      <c r="E596" s="60"/>
      <c r="F596" s="76"/>
      <c r="G596" s="60"/>
      <c r="H596" s="60"/>
      <c r="I596" s="60"/>
      <c r="J596" s="60">
        <f>Table5[[#This Row],[العدد]]*Table5[[#This Row],[الفئة]]</f>
        <v>0</v>
      </c>
      <c r="K59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6" s="60"/>
      <c r="M596" s="60">
        <f>Table5[[#This Row],[الاجمالي]]-Table5[[#This Row],[المبلغ المدفوع]]</f>
        <v>0</v>
      </c>
      <c r="N596" s="60"/>
    </row>
    <row r="597" spans="1:14" hidden="1" x14ac:dyDescent="0.3">
      <c r="A597" s="52">
        <f t="shared" si="7"/>
        <v>593</v>
      </c>
      <c r="B597" s="74"/>
      <c r="C597" s="75"/>
      <c r="D597" s="74"/>
      <c r="E597" s="60"/>
      <c r="F597" s="76"/>
      <c r="G597" s="60"/>
      <c r="H597" s="60"/>
      <c r="I597" s="60"/>
      <c r="J597" s="60">
        <f>Table5[[#This Row],[العدد]]*Table5[[#This Row],[الفئة]]</f>
        <v>0</v>
      </c>
      <c r="K59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7" s="60"/>
      <c r="M597" s="60">
        <f>Table5[[#This Row],[الاجمالي]]-Table5[[#This Row],[المبلغ المدفوع]]</f>
        <v>0</v>
      </c>
      <c r="N597" s="60"/>
    </row>
    <row r="598" spans="1:14" hidden="1" x14ac:dyDescent="0.3">
      <c r="A598" s="52">
        <f t="shared" si="7"/>
        <v>594</v>
      </c>
      <c r="B598" s="74"/>
      <c r="C598" s="75"/>
      <c r="D598" s="74"/>
      <c r="E598" s="60"/>
      <c r="F598" s="76"/>
      <c r="G598" s="60"/>
      <c r="H598" s="60"/>
      <c r="I598" s="60"/>
      <c r="J598" s="60">
        <f>Table5[[#This Row],[العدد]]*Table5[[#This Row],[الفئة]]</f>
        <v>0</v>
      </c>
      <c r="K59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8" s="60"/>
      <c r="M598" s="60">
        <f>Table5[[#This Row],[الاجمالي]]-Table5[[#This Row],[المبلغ المدفوع]]</f>
        <v>0</v>
      </c>
      <c r="N598" s="60"/>
    </row>
    <row r="599" spans="1:14" hidden="1" x14ac:dyDescent="0.3">
      <c r="A599" s="52">
        <f t="shared" si="7"/>
        <v>595</v>
      </c>
      <c r="B599" s="74"/>
      <c r="C599" s="75"/>
      <c r="D599" s="74"/>
      <c r="E599" s="60"/>
      <c r="F599" s="76"/>
      <c r="G599" s="60"/>
      <c r="H599" s="60"/>
      <c r="I599" s="60"/>
      <c r="J599" s="60">
        <f>Table5[[#This Row],[العدد]]*Table5[[#This Row],[الفئة]]</f>
        <v>0</v>
      </c>
      <c r="K59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599" s="60"/>
      <c r="M599" s="60">
        <f>Table5[[#This Row],[الاجمالي]]-Table5[[#This Row],[المبلغ المدفوع]]</f>
        <v>0</v>
      </c>
      <c r="N599" s="60"/>
    </row>
    <row r="600" spans="1:14" hidden="1" x14ac:dyDescent="0.3">
      <c r="A600" s="52">
        <f t="shared" si="7"/>
        <v>596</v>
      </c>
      <c r="B600" s="74"/>
      <c r="C600" s="75"/>
      <c r="D600" s="74"/>
      <c r="E600" s="60"/>
      <c r="F600" s="76"/>
      <c r="G600" s="60"/>
      <c r="H600" s="60"/>
      <c r="I600" s="60"/>
      <c r="J600" s="60">
        <f>Table5[[#This Row],[العدد]]*Table5[[#This Row],[الفئة]]</f>
        <v>0</v>
      </c>
      <c r="K60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0" s="60"/>
      <c r="M600" s="60">
        <f>Table5[[#This Row],[الاجمالي]]-Table5[[#This Row],[المبلغ المدفوع]]</f>
        <v>0</v>
      </c>
      <c r="N600" s="60"/>
    </row>
    <row r="601" spans="1:14" hidden="1" x14ac:dyDescent="0.3">
      <c r="A601" s="52">
        <f t="shared" si="7"/>
        <v>597</v>
      </c>
      <c r="B601" s="74"/>
      <c r="C601" s="75"/>
      <c r="D601" s="74"/>
      <c r="E601" s="60"/>
      <c r="F601" s="76"/>
      <c r="G601" s="60"/>
      <c r="H601" s="60"/>
      <c r="I601" s="60"/>
      <c r="J601" s="60">
        <f>Table5[[#This Row],[العدد]]*Table5[[#This Row],[الفئة]]</f>
        <v>0</v>
      </c>
      <c r="K60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1" s="60"/>
      <c r="M601" s="60">
        <f>Table5[[#This Row],[الاجمالي]]-Table5[[#This Row],[المبلغ المدفوع]]</f>
        <v>0</v>
      </c>
      <c r="N601" s="60"/>
    </row>
    <row r="602" spans="1:14" hidden="1" x14ac:dyDescent="0.3">
      <c r="A602" s="52">
        <f t="shared" si="7"/>
        <v>598</v>
      </c>
      <c r="B602" s="74"/>
      <c r="C602" s="75"/>
      <c r="D602" s="74"/>
      <c r="E602" s="60"/>
      <c r="F602" s="76"/>
      <c r="G602" s="60"/>
      <c r="H602" s="60"/>
      <c r="I602" s="60"/>
      <c r="J602" s="60">
        <f>Table5[[#This Row],[العدد]]*Table5[[#This Row],[الفئة]]</f>
        <v>0</v>
      </c>
      <c r="K60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2" s="60"/>
      <c r="M602" s="60">
        <f>Table5[[#This Row],[الاجمالي]]-Table5[[#This Row],[المبلغ المدفوع]]</f>
        <v>0</v>
      </c>
      <c r="N602" s="60"/>
    </row>
    <row r="603" spans="1:14" hidden="1" x14ac:dyDescent="0.3">
      <c r="A603" s="52">
        <f t="shared" si="7"/>
        <v>599</v>
      </c>
      <c r="B603" s="74"/>
      <c r="C603" s="75"/>
      <c r="D603" s="74"/>
      <c r="E603" s="60"/>
      <c r="F603" s="76"/>
      <c r="G603" s="60"/>
      <c r="H603" s="60"/>
      <c r="I603" s="60"/>
      <c r="J603" s="60">
        <f>Table5[[#This Row],[العدد]]*Table5[[#This Row],[الفئة]]</f>
        <v>0</v>
      </c>
      <c r="K60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3" s="60"/>
      <c r="M603" s="60">
        <f>Table5[[#This Row],[الاجمالي]]-Table5[[#This Row],[المبلغ المدفوع]]</f>
        <v>0</v>
      </c>
      <c r="N603" s="60"/>
    </row>
    <row r="604" spans="1:14" hidden="1" x14ac:dyDescent="0.3">
      <c r="A604" s="52">
        <f t="shared" si="7"/>
        <v>600</v>
      </c>
      <c r="B604" s="74"/>
      <c r="C604" s="75"/>
      <c r="D604" s="74"/>
      <c r="E604" s="60"/>
      <c r="F604" s="76"/>
      <c r="G604" s="60"/>
      <c r="H604" s="60"/>
      <c r="I604" s="60"/>
      <c r="J604" s="60">
        <f>Table5[[#This Row],[العدد]]*Table5[[#This Row],[الفئة]]</f>
        <v>0</v>
      </c>
      <c r="K60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4" s="60"/>
      <c r="M604" s="60">
        <f>Table5[[#This Row],[الاجمالي]]-Table5[[#This Row],[المبلغ المدفوع]]</f>
        <v>0</v>
      </c>
      <c r="N604" s="60"/>
    </row>
    <row r="605" spans="1:14" hidden="1" x14ac:dyDescent="0.3">
      <c r="A605" s="52">
        <f t="shared" si="7"/>
        <v>601</v>
      </c>
      <c r="B605" s="74"/>
      <c r="C605" s="75"/>
      <c r="D605" s="74"/>
      <c r="E605" s="60"/>
      <c r="F605" s="76"/>
      <c r="G605" s="60"/>
      <c r="H605" s="60"/>
      <c r="I605" s="60"/>
      <c r="J605" s="60">
        <f>Table5[[#This Row],[العدد]]*Table5[[#This Row],[الفئة]]</f>
        <v>0</v>
      </c>
      <c r="K60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5" s="60"/>
      <c r="M605" s="60">
        <f>Table5[[#This Row],[الاجمالي]]-Table5[[#This Row],[المبلغ المدفوع]]</f>
        <v>0</v>
      </c>
      <c r="N605" s="60"/>
    </row>
    <row r="606" spans="1:14" hidden="1" x14ac:dyDescent="0.3">
      <c r="A606" s="52">
        <f t="shared" si="7"/>
        <v>602</v>
      </c>
      <c r="B606" s="74"/>
      <c r="C606" s="75"/>
      <c r="D606" s="74"/>
      <c r="E606" s="60"/>
      <c r="F606" s="76"/>
      <c r="G606" s="60"/>
      <c r="H606" s="60"/>
      <c r="I606" s="60"/>
      <c r="J606" s="60">
        <f>Table5[[#This Row],[العدد]]*Table5[[#This Row],[الفئة]]</f>
        <v>0</v>
      </c>
      <c r="K60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6" s="60"/>
      <c r="M606" s="60">
        <f>Table5[[#This Row],[الاجمالي]]-Table5[[#This Row],[المبلغ المدفوع]]</f>
        <v>0</v>
      </c>
      <c r="N606" s="60"/>
    </row>
    <row r="607" spans="1:14" hidden="1" x14ac:dyDescent="0.3">
      <c r="A607" s="52">
        <f t="shared" si="7"/>
        <v>603</v>
      </c>
      <c r="B607" s="74"/>
      <c r="C607" s="75"/>
      <c r="D607" s="74"/>
      <c r="E607" s="60"/>
      <c r="F607" s="76"/>
      <c r="G607" s="60"/>
      <c r="H607" s="60"/>
      <c r="I607" s="60"/>
      <c r="J607" s="60">
        <f>Table5[[#This Row],[العدد]]*Table5[[#This Row],[الفئة]]</f>
        <v>0</v>
      </c>
      <c r="K60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7" s="60"/>
      <c r="M607" s="60">
        <f>Table5[[#This Row],[الاجمالي]]-Table5[[#This Row],[المبلغ المدفوع]]</f>
        <v>0</v>
      </c>
      <c r="N607" s="60"/>
    </row>
    <row r="608" spans="1:14" hidden="1" x14ac:dyDescent="0.3">
      <c r="A608" s="52">
        <f t="shared" si="7"/>
        <v>604</v>
      </c>
      <c r="B608" s="74"/>
      <c r="C608" s="75"/>
      <c r="D608" s="74"/>
      <c r="E608" s="60"/>
      <c r="F608" s="76"/>
      <c r="G608" s="60"/>
      <c r="H608" s="60"/>
      <c r="I608" s="60"/>
      <c r="J608" s="60">
        <f>Table5[[#This Row],[العدد]]*Table5[[#This Row],[الفئة]]</f>
        <v>0</v>
      </c>
      <c r="K60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8" s="60"/>
      <c r="M608" s="60">
        <f>Table5[[#This Row],[الاجمالي]]-Table5[[#This Row],[المبلغ المدفوع]]</f>
        <v>0</v>
      </c>
      <c r="N608" s="60"/>
    </row>
    <row r="609" spans="1:14" hidden="1" x14ac:dyDescent="0.3">
      <c r="A609" s="52">
        <f t="shared" si="7"/>
        <v>605</v>
      </c>
      <c r="B609" s="74"/>
      <c r="C609" s="75"/>
      <c r="D609" s="74"/>
      <c r="E609" s="60"/>
      <c r="F609" s="76"/>
      <c r="G609" s="60"/>
      <c r="H609" s="60"/>
      <c r="I609" s="60"/>
      <c r="J609" s="60">
        <f>Table5[[#This Row],[العدد]]*Table5[[#This Row],[الفئة]]</f>
        <v>0</v>
      </c>
      <c r="K60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09" s="60"/>
      <c r="M609" s="60">
        <f>Table5[[#This Row],[الاجمالي]]-Table5[[#This Row],[المبلغ المدفوع]]</f>
        <v>0</v>
      </c>
      <c r="N609" s="60"/>
    </row>
    <row r="610" spans="1:14" hidden="1" x14ac:dyDescent="0.3">
      <c r="A610" s="52">
        <f t="shared" si="7"/>
        <v>606</v>
      </c>
      <c r="B610" s="74"/>
      <c r="C610" s="75"/>
      <c r="D610" s="74"/>
      <c r="E610" s="60"/>
      <c r="F610" s="76"/>
      <c r="G610" s="60"/>
      <c r="H610" s="60"/>
      <c r="I610" s="60"/>
      <c r="J610" s="60">
        <f>Table5[[#This Row],[العدد]]*Table5[[#This Row],[الفئة]]</f>
        <v>0</v>
      </c>
      <c r="K61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0" s="60"/>
      <c r="M610" s="60">
        <f>Table5[[#This Row],[الاجمالي]]-Table5[[#This Row],[المبلغ المدفوع]]</f>
        <v>0</v>
      </c>
      <c r="N610" s="60"/>
    </row>
    <row r="611" spans="1:14" hidden="1" x14ac:dyDescent="0.3">
      <c r="A611" s="52">
        <f t="shared" si="7"/>
        <v>607</v>
      </c>
      <c r="B611" s="74"/>
      <c r="C611" s="75"/>
      <c r="D611" s="74"/>
      <c r="E611" s="60"/>
      <c r="F611" s="76"/>
      <c r="G611" s="60"/>
      <c r="H611" s="60"/>
      <c r="I611" s="60"/>
      <c r="J611" s="60">
        <f>Table5[[#This Row],[العدد]]*Table5[[#This Row],[الفئة]]</f>
        <v>0</v>
      </c>
      <c r="K61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1" s="60"/>
      <c r="M611" s="60">
        <f>Table5[[#This Row],[الاجمالي]]-Table5[[#This Row],[المبلغ المدفوع]]</f>
        <v>0</v>
      </c>
      <c r="N611" s="60"/>
    </row>
    <row r="612" spans="1:14" hidden="1" x14ac:dyDescent="0.3">
      <c r="A612" s="52">
        <f t="shared" si="7"/>
        <v>608</v>
      </c>
      <c r="B612" s="74"/>
      <c r="C612" s="75"/>
      <c r="D612" s="74"/>
      <c r="E612" s="60"/>
      <c r="F612" s="76"/>
      <c r="G612" s="60"/>
      <c r="H612" s="60"/>
      <c r="I612" s="60"/>
      <c r="J612" s="60">
        <f>Table5[[#This Row],[العدد]]*Table5[[#This Row],[الفئة]]</f>
        <v>0</v>
      </c>
      <c r="K61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2" s="60"/>
      <c r="M612" s="60">
        <f>Table5[[#This Row],[الاجمالي]]-Table5[[#This Row],[المبلغ المدفوع]]</f>
        <v>0</v>
      </c>
      <c r="N612" s="60"/>
    </row>
    <row r="613" spans="1:14" hidden="1" x14ac:dyDescent="0.3">
      <c r="A613" s="52">
        <f t="shared" si="7"/>
        <v>609</v>
      </c>
      <c r="B613" s="74"/>
      <c r="C613" s="75"/>
      <c r="D613" s="74"/>
      <c r="E613" s="60"/>
      <c r="F613" s="76"/>
      <c r="G613" s="60"/>
      <c r="H613" s="60"/>
      <c r="I613" s="60"/>
      <c r="J613" s="60">
        <f>Table5[[#This Row],[العدد]]*Table5[[#This Row],[الفئة]]</f>
        <v>0</v>
      </c>
      <c r="K61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3" s="60"/>
      <c r="M613" s="60">
        <f>Table5[[#This Row],[الاجمالي]]-Table5[[#This Row],[المبلغ المدفوع]]</f>
        <v>0</v>
      </c>
      <c r="N613" s="60"/>
    </row>
    <row r="614" spans="1:14" hidden="1" x14ac:dyDescent="0.3">
      <c r="A614" s="52">
        <f t="shared" si="7"/>
        <v>610</v>
      </c>
      <c r="B614" s="74"/>
      <c r="C614" s="75"/>
      <c r="D614" s="74"/>
      <c r="E614" s="60"/>
      <c r="F614" s="76"/>
      <c r="G614" s="60"/>
      <c r="H614" s="60"/>
      <c r="I614" s="60"/>
      <c r="J614" s="60">
        <f>Table5[[#This Row],[العدد]]*Table5[[#This Row],[الفئة]]</f>
        <v>0</v>
      </c>
      <c r="K61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4" s="60"/>
      <c r="M614" s="60">
        <f>Table5[[#This Row],[الاجمالي]]-Table5[[#This Row],[المبلغ المدفوع]]</f>
        <v>0</v>
      </c>
      <c r="N614" s="60"/>
    </row>
    <row r="615" spans="1:14" hidden="1" x14ac:dyDescent="0.3">
      <c r="A615" s="52">
        <f t="shared" si="7"/>
        <v>611</v>
      </c>
      <c r="B615" s="74"/>
      <c r="C615" s="75"/>
      <c r="D615" s="74"/>
      <c r="E615" s="60"/>
      <c r="F615" s="76"/>
      <c r="G615" s="60"/>
      <c r="H615" s="60"/>
      <c r="I615" s="60"/>
      <c r="J615" s="60">
        <f>Table5[[#This Row],[العدد]]*Table5[[#This Row],[الفئة]]</f>
        <v>0</v>
      </c>
      <c r="K61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5" s="60"/>
      <c r="M615" s="60">
        <f>Table5[[#This Row],[الاجمالي]]-Table5[[#This Row],[المبلغ المدفوع]]</f>
        <v>0</v>
      </c>
      <c r="N615" s="60"/>
    </row>
    <row r="616" spans="1:14" hidden="1" x14ac:dyDescent="0.3">
      <c r="A616" s="52">
        <f t="shared" si="7"/>
        <v>612</v>
      </c>
      <c r="B616" s="74"/>
      <c r="C616" s="75"/>
      <c r="D616" s="74"/>
      <c r="E616" s="60"/>
      <c r="F616" s="76"/>
      <c r="G616" s="60"/>
      <c r="H616" s="60"/>
      <c r="I616" s="60"/>
      <c r="J616" s="60">
        <f>Table5[[#This Row],[العدد]]*Table5[[#This Row],[الفئة]]</f>
        <v>0</v>
      </c>
      <c r="K61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6" s="60"/>
      <c r="M616" s="60">
        <f>Table5[[#This Row],[الاجمالي]]-Table5[[#This Row],[المبلغ المدفوع]]</f>
        <v>0</v>
      </c>
      <c r="N616" s="60"/>
    </row>
    <row r="617" spans="1:14" hidden="1" x14ac:dyDescent="0.3">
      <c r="A617" s="52">
        <f t="shared" si="7"/>
        <v>613</v>
      </c>
      <c r="B617" s="74"/>
      <c r="C617" s="75"/>
      <c r="D617" s="74"/>
      <c r="E617" s="60"/>
      <c r="F617" s="76"/>
      <c r="G617" s="60"/>
      <c r="H617" s="60"/>
      <c r="I617" s="60"/>
      <c r="J617" s="60">
        <f>Table5[[#This Row],[العدد]]*Table5[[#This Row],[الفئة]]</f>
        <v>0</v>
      </c>
      <c r="K617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7" s="60"/>
      <c r="M617" s="60">
        <f>Table5[[#This Row],[الاجمالي]]-Table5[[#This Row],[المبلغ المدفوع]]</f>
        <v>0</v>
      </c>
      <c r="N617" s="60"/>
    </row>
    <row r="618" spans="1:14" hidden="1" x14ac:dyDescent="0.3">
      <c r="A618" s="52">
        <f t="shared" si="7"/>
        <v>614</v>
      </c>
      <c r="B618" s="74"/>
      <c r="C618" s="75"/>
      <c r="D618" s="74"/>
      <c r="E618" s="60"/>
      <c r="F618" s="76"/>
      <c r="G618" s="60"/>
      <c r="H618" s="60"/>
      <c r="I618" s="60"/>
      <c r="J618" s="60">
        <f>Table5[[#This Row],[العدد]]*Table5[[#This Row],[الفئة]]</f>
        <v>0</v>
      </c>
      <c r="K618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8" s="60"/>
      <c r="M618" s="60">
        <f>Table5[[#This Row],[الاجمالي]]-Table5[[#This Row],[المبلغ المدفوع]]</f>
        <v>0</v>
      </c>
      <c r="N618" s="60"/>
    </row>
    <row r="619" spans="1:14" hidden="1" x14ac:dyDescent="0.3">
      <c r="A619" s="52">
        <f t="shared" si="7"/>
        <v>615</v>
      </c>
      <c r="B619" s="74"/>
      <c r="C619" s="75"/>
      <c r="D619" s="74"/>
      <c r="E619" s="60"/>
      <c r="F619" s="76"/>
      <c r="G619" s="60"/>
      <c r="H619" s="60"/>
      <c r="I619" s="60"/>
      <c r="J619" s="60">
        <f>Table5[[#This Row],[العدد]]*Table5[[#This Row],[الفئة]]</f>
        <v>0</v>
      </c>
      <c r="K619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19" s="60"/>
      <c r="M619" s="60">
        <f>Table5[[#This Row],[الاجمالي]]-Table5[[#This Row],[المبلغ المدفوع]]</f>
        <v>0</v>
      </c>
      <c r="N619" s="60"/>
    </row>
    <row r="620" spans="1:14" hidden="1" x14ac:dyDescent="0.3">
      <c r="A620" s="52">
        <f t="shared" si="7"/>
        <v>616</v>
      </c>
      <c r="B620" s="74"/>
      <c r="C620" s="75"/>
      <c r="D620" s="74"/>
      <c r="E620" s="60"/>
      <c r="F620" s="76"/>
      <c r="G620" s="60"/>
      <c r="H620" s="60"/>
      <c r="I620" s="60"/>
      <c r="J620" s="60">
        <f>Table5[[#This Row],[العدد]]*Table5[[#This Row],[الفئة]]</f>
        <v>0</v>
      </c>
      <c r="K620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0" s="60"/>
      <c r="M620" s="60">
        <f>Table5[[#This Row],[الاجمالي]]-Table5[[#This Row],[المبلغ المدفوع]]</f>
        <v>0</v>
      </c>
      <c r="N620" s="60"/>
    </row>
    <row r="621" spans="1:14" hidden="1" x14ac:dyDescent="0.3">
      <c r="A621" s="52">
        <f t="shared" si="7"/>
        <v>617</v>
      </c>
      <c r="B621" s="74"/>
      <c r="C621" s="75"/>
      <c r="D621" s="74"/>
      <c r="E621" s="60"/>
      <c r="F621" s="76"/>
      <c r="G621" s="60"/>
      <c r="H621" s="60"/>
      <c r="I621" s="60"/>
      <c r="J621" s="60">
        <f>Table5[[#This Row],[العدد]]*Table5[[#This Row],[الفئة]]</f>
        <v>0</v>
      </c>
      <c r="K621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1" s="60"/>
      <c r="M621" s="60">
        <f>Table5[[#This Row],[الاجمالي]]-Table5[[#This Row],[المبلغ المدفوع]]</f>
        <v>0</v>
      </c>
      <c r="N621" s="60"/>
    </row>
    <row r="622" spans="1:14" hidden="1" x14ac:dyDescent="0.3">
      <c r="A622" s="52">
        <f t="shared" si="7"/>
        <v>618</v>
      </c>
      <c r="B622" s="74"/>
      <c r="C622" s="75"/>
      <c r="D622" s="74"/>
      <c r="E622" s="60"/>
      <c r="F622" s="76"/>
      <c r="G622" s="60"/>
      <c r="H622" s="60"/>
      <c r="I622" s="60"/>
      <c r="J622" s="60">
        <f>Table5[[#This Row],[العدد]]*Table5[[#This Row],[الفئة]]</f>
        <v>0</v>
      </c>
      <c r="K622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2" s="60"/>
      <c r="M622" s="60">
        <f>Table5[[#This Row],[الاجمالي]]-Table5[[#This Row],[المبلغ المدفوع]]</f>
        <v>0</v>
      </c>
      <c r="N622" s="60"/>
    </row>
    <row r="623" spans="1:14" ht="40.5" hidden="1" customHeight="1" x14ac:dyDescent="0.3">
      <c r="A623" s="52">
        <f t="shared" si="7"/>
        <v>619</v>
      </c>
      <c r="B623" s="74"/>
      <c r="C623" s="75"/>
      <c r="D623" s="74"/>
      <c r="E623" s="60"/>
      <c r="F623" s="76"/>
      <c r="G623" s="60"/>
      <c r="H623" s="60"/>
      <c r="I623" s="60"/>
      <c r="J623" s="60">
        <f>Table5[[#This Row],[العدد]]*Table5[[#This Row],[الفئة]]</f>
        <v>0</v>
      </c>
      <c r="K623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3" s="60"/>
      <c r="M623" s="60">
        <f>Table5[[#This Row],[الاجمالي]]-Table5[[#This Row],[المبلغ المدفوع]]</f>
        <v>0</v>
      </c>
      <c r="N623" s="60"/>
    </row>
    <row r="624" spans="1:14" hidden="1" x14ac:dyDescent="0.3">
      <c r="A624" s="52">
        <f t="shared" si="7"/>
        <v>620</v>
      </c>
      <c r="B624" s="74"/>
      <c r="C624" s="75"/>
      <c r="D624" s="74"/>
      <c r="E624" s="60"/>
      <c r="F624" s="76"/>
      <c r="G624" s="60"/>
      <c r="H624" s="60"/>
      <c r="I624" s="60"/>
      <c r="J624" s="60">
        <f>Table5[[#This Row],[العدد]]*Table5[[#This Row],[الفئة]]</f>
        <v>0</v>
      </c>
      <c r="K624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4" s="60"/>
      <c r="M624" s="60">
        <f>Table5[[#This Row],[الاجمالي]]-Table5[[#This Row],[المبلغ المدفوع]]</f>
        <v>0</v>
      </c>
      <c r="N624" s="60"/>
    </row>
    <row r="625" spans="1:14" hidden="1" x14ac:dyDescent="0.3">
      <c r="A625" s="52">
        <f t="shared" si="7"/>
        <v>621</v>
      </c>
      <c r="B625" s="74"/>
      <c r="C625" s="75"/>
      <c r="D625" s="74"/>
      <c r="E625" s="60"/>
      <c r="F625" s="76"/>
      <c r="G625" s="60"/>
      <c r="H625" s="60"/>
      <c r="I625" s="60"/>
      <c r="J625" s="60">
        <f>Table5[[#This Row],[العدد]]*Table5[[#This Row],[الفئة]]</f>
        <v>0</v>
      </c>
      <c r="K625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5" s="60"/>
      <c r="M625" s="60">
        <f>Table5[[#This Row],[الاجمالي]]-Table5[[#This Row],[المبلغ المدفوع]]</f>
        <v>0</v>
      </c>
      <c r="N625" s="60"/>
    </row>
    <row r="626" spans="1:14" hidden="1" x14ac:dyDescent="0.3">
      <c r="A626" s="52">
        <f t="shared" si="7"/>
        <v>622</v>
      </c>
      <c r="B626" s="74"/>
      <c r="C626" s="75"/>
      <c r="D626" s="74"/>
      <c r="E626" s="60"/>
      <c r="F626" s="76"/>
      <c r="G626" s="60"/>
      <c r="H626" s="60"/>
      <c r="I626" s="60"/>
      <c r="J626" s="60">
        <f>Table5[[#This Row],[العدد]]*Table5[[#This Row],[الفئة]]</f>
        <v>0</v>
      </c>
      <c r="K626" s="60">
        <f>IF(Table5[[#This Row],[الفئة]]=0.8,Table5[[#This Row],[السعر]]*Table5[[#This Row],[العدد]]+Table5[[#This Row],[مصاريف اخرى]]-Table5[[#This Row],[خصم]],IF(Table5[[#This Row],[الفئة]]=1.6,Table5[[#This Row],[العدد]]*2*Table5[[#This Row],[السعر]]+Table5[[#This Row],[مصاريف اخرى]]-Table5[[#This Row],[خصم]],Table5[[#This Row],[السعر]]*Table5[[#This Row],[الكمية]]+Table5[[#This Row],[مصاريف اخرى]]-Table5[[#This Row],[خصم]]))</f>
        <v>0</v>
      </c>
      <c r="L626" s="60"/>
      <c r="M626" s="60">
        <f>Table5[[#This Row],[الاجمالي]]-Table5[[#This Row],[المبلغ المدفوع]]</f>
        <v>0</v>
      </c>
      <c r="N626" s="60"/>
    </row>
    <row r="627" spans="1:14" x14ac:dyDescent="0.3">
      <c r="A627" s="100"/>
      <c r="B627" s="101"/>
      <c r="C627" s="102" t="s">
        <v>18</v>
      </c>
      <c r="D627" s="101"/>
      <c r="E627" s="103">
        <f>SUBTOTAL(9,E18:E296)</f>
        <v>870</v>
      </c>
      <c r="F627" s="104"/>
      <c r="G627" s="105"/>
      <c r="H627" s="105"/>
      <c r="I627" s="105"/>
      <c r="J627" s="103">
        <f>SUBTOTAL(9,Table5[الكمية])</f>
        <v>4064</v>
      </c>
      <c r="K627" s="106">
        <f>SUBTOTAL(9,Table5[الاجمالي])</f>
        <v>155015</v>
      </c>
      <c r="L627" s="107">
        <f>SUBTOTAL(9,Table5[المبلغ المدفوع])</f>
        <v>185925</v>
      </c>
      <c r="M627" s="107">
        <f>SUBTOTAL(9,Table5[متبقي])</f>
        <v>-30910</v>
      </c>
      <c r="N627" s="105"/>
    </row>
  </sheetData>
  <pageMargins left="0.25" right="0.25" top="0.75" bottom="0.75" header="0.3" footer="0.3"/>
  <pageSetup scale="66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3"/>
  <sheetViews>
    <sheetView rightToLeft="1" workbookViewId="0">
      <selection activeCell="D4" sqref="D4"/>
    </sheetView>
  </sheetViews>
  <sheetFormatPr defaultRowHeight="14.25" x14ac:dyDescent="0.2"/>
  <cols>
    <col min="1" max="1" width="9.75" bestFit="1" customWidth="1"/>
    <col min="2" max="2" width="16.25" bestFit="1" customWidth="1"/>
    <col min="3" max="3" width="17" bestFit="1" customWidth="1"/>
    <col min="4" max="4" width="18.625" bestFit="1" customWidth="1"/>
    <col min="5" max="5" width="17.375" customWidth="1"/>
    <col min="6" max="6" width="12" bestFit="1" customWidth="1"/>
    <col min="7" max="7" width="14.25" bestFit="1" customWidth="1"/>
    <col min="8" max="8" width="17.625" customWidth="1"/>
    <col min="9" max="9" width="6.25" bestFit="1" customWidth="1"/>
    <col min="10" max="10" width="12" bestFit="1" customWidth="1"/>
  </cols>
  <sheetData>
    <row r="1" spans="1:7" ht="23.25" x14ac:dyDescent="0.35">
      <c r="A1" s="1"/>
      <c r="B1" s="1"/>
      <c r="C1" s="1" t="s">
        <v>20</v>
      </c>
      <c r="D1" s="40" t="s">
        <v>32</v>
      </c>
      <c r="E1" s="1"/>
      <c r="F1" s="1"/>
      <c r="G1" s="1"/>
    </row>
    <row r="2" spans="1:7" ht="23.25" x14ac:dyDescent="0.35">
      <c r="A2" s="1"/>
      <c r="B2" s="1"/>
      <c r="C2" s="1"/>
      <c r="D2" s="1"/>
      <c r="E2" s="1"/>
      <c r="F2" s="1"/>
      <c r="G2" s="1"/>
    </row>
    <row r="3" spans="1:7" ht="38.25" customHeight="1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</row>
    <row r="4" spans="1:7" ht="23.25" x14ac:dyDescent="0.2">
      <c r="A4" s="5">
        <v>1</v>
      </c>
      <c r="B4" s="6">
        <v>45328</v>
      </c>
      <c r="C4" s="5">
        <v>280</v>
      </c>
      <c r="D4" s="7">
        <v>68210</v>
      </c>
      <c r="E4" s="7"/>
      <c r="F4" s="7">
        <f>D4-E4</f>
        <v>68210</v>
      </c>
      <c r="G4" s="5"/>
    </row>
    <row r="5" spans="1:7" ht="23.25" x14ac:dyDescent="0.2">
      <c r="A5" s="9">
        <f>A4+1</f>
        <v>2</v>
      </c>
      <c r="B5" s="6"/>
      <c r="C5" s="5"/>
      <c r="D5" s="7"/>
      <c r="E5" s="7"/>
      <c r="F5" s="11">
        <f>F4+D5-E5</f>
        <v>68210</v>
      </c>
      <c r="G5" s="9"/>
    </row>
    <row r="6" spans="1:7" ht="23.25" x14ac:dyDescent="0.2">
      <c r="A6" s="9">
        <f t="shared" ref="A6:A12" si="0">A5+1</f>
        <v>3</v>
      </c>
      <c r="B6" s="6"/>
      <c r="C6" s="5"/>
      <c r="D6" s="7"/>
      <c r="E6" s="11">
        <v>30000</v>
      </c>
      <c r="F6" s="11">
        <f>F5+D6-E6</f>
        <v>38210</v>
      </c>
      <c r="G6" s="9"/>
    </row>
    <row r="7" spans="1:7" ht="23.25" x14ac:dyDescent="0.2">
      <c r="A7" s="9">
        <f t="shared" si="0"/>
        <v>4</v>
      </c>
      <c r="B7" s="6">
        <v>45339</v>
      </c>
      <c r="C7" s="5">
        <v>300</v>
      </c>
      <c r="D7" s="7">
        <v>85880</v>
      </c>
      <c r="E7" s="11">
        <v>10000</v>
      </c>
      <c r="F7" s="11">
        <f t="shared" ref="F7:F12" si="1">F6+D7-E7</f>
        <v>114090</v>
      </c>
      <c r="G7" s="11"/>
    </row>
    <row r="8" spans="1:7" ht="23.25" x14ac:dyDescent="0.2">
      <c r="A8" s="9">
        <f t="shared" si="0"/>
        <v>5</v>
      </c>
      <c r="B8" s="6"/>
      <c r="C8" s="5"/>
      <c r="D8" s="7"/>
      <c r="E8" s="11">
        <v>40000</v>
      </c>
      <c r="F8" s="11">
        <f t="shared" si="1"/>
        <v>74090</v>
      </c>
      <c r="G8" s="9"/>
    </row>
    <row r="9" spans="1:7" ht="23.25" x14ac:dyDescent="0.2">
      <c r="A9" s="9">
        <f t="shared" si="0"/>
        <v>6</v>
      </c>
      <c r="B9" s="47"/>
      <c r="C9" s="46"/>
      <c r="D9" s="48"/>
      <c r="E9" s="11">
        <v>60000</v>
      </c>
      <c r="F9" s="11">
        <f t="shared" si="1"/>
        <v>14090</v>
      </c>
      <c r="G9" s="9"/>
    </row>
    <row r="10" spans="1:7" ht="23.25" x14ac:dyDescent="0.2">
      <c r="A10" s="9">
        <f t="shared" si="0"/>
        <v>7</v>
      </c>
      <c r="B10" s="47"/>
      <c r="C10" s="46"/>
      <c r="D10" s="48"/>
      <c r="E10" s="11">
        <v>45000</v>
      </c>
      <c r="F10" s="11">
        <f t="shared" si="1"/>
        <v>-30910</v>
      </c>
      <c r="G10" s="9"/>
    </row>
    <row r="11" spans="1:7" ht="23.25" x14ac:dyDescent="0.2">
      <c r="A11" s="9">
        <f t="shared" si="0"/>
        <v>8</v>
      </c>
      <c r="B11" s="47"/>
      <c r="C11" s="46"/>
      <c r="D11" s="48"/>
      <c r="E11" s="11"/>
      <c r="F11" s="11">
        <f t="shared" si="1"/>
        <v>-30910</v>
      </c>
      <c r="G11" s="9"/>
    </row>
    <row r="12" spans="1:7" ht="24" thickBot="1" x14ac:dyDescent="0.25">
      <c r="A12" s="13">
        <f t="shared" si="0"/>
        <v>9</v>
      </c>
      <c r="B12" s="14"/>
      <c r="C12" s="15"/>
      <c r="D12" s="16"/>
      <c r="E12" s="17"/>
      <c r="F12" s="11">
        <f t="shared" si="1"/>
        <v>-30910</v>
      </c>
      <c r="G12" s="13"/>
    </row>
    <row r="13" spans="1:7" ht="23.25" x14ac:dyDescent="0.2">
      <c r="A13" s="41"/>
      <c r="B13" s="41" t="s">
        <v>8</v>
      </c>
      <c r="C13" s="42"/>
      <c r="D13" s="43">
        <f>SUM(D4:D12)</f>
        <v>154090</v>
      </c>
      <c r="E13" s="44">
        <f>SUM(E4:E12)</f>
        <v>185000</v>
      </c>
      <c r="F13" s="44">
        <f>F12</f>
        <v>-30910</v>
      </c>
      <c r="G13" s="45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18"/>
  <sheetViews>
    <sheetView rightToLeft="1" topLeftCell="A3" zoomScale="80" zoomScaleNormal="80" workbookViewId="0">
      <selection sqref="A1:G19"/>
    </sheetView>
  </sheetViews>
  <sheetFormatPr defaultRowHeight="14.25" x14ac:dyDescent="0.2"/>
  <cols>
    <col min="1" max="1" width="10.125" bestFit="1" customWidth="1"/>
    <col min="2" max="3" width="16.375" bestFit="1" customWidth="1"/>
    <col min="4" max="4" width="17.75" bestFit="1" customWidth="1"/>
    <col min="5" max="5" width="18.125" bestFit="1" customWidth="1"/>
    <col min="6" max="6" width="12.125" bestFit="1" customWidth="1"/>
    <col min="7" max="7" width="14.25" bestFit="1" customWidth="1"/>
  </cols>
  <sheetData>
    <row r="1" spans="1:11" ht="23.25" x14ac:dyDescent="0.35">
      <c r="A1" s="1"/>
      <c r="B1" s="1"/>
      <c r="C1" s="1" t="s">
        <v>20</v>
      </c>
      <c r="D1" s="83" t="s">
        <v>89</v>
      </c>
      <c r="E1" s="1"/>
      <c r="F1" s="1"/>
      <c r="G1" s="1"/>
    </row>
    <row r="2" spans="1:11" ht="23.25" x14ac:dyDescent="0.35">
      <c r="A2" s="1"/>
      <c r="B2" s="1"/>
      <c r="C2" s="1"/>
      <c r="D2" s="1"/>
      <c r="E2" s="1"/>
      <c r="F2" s="1"/>
      <c r="G2" s="1"/>
    </row>
    <row r="3" spans="1:11" ht="24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J3" s="84" t="s">
        <v>142</v>
      </c>
      <c r="K3" s="84"/>
    </row>
    <row r="4" spans="1:11" ht="23.25" x14ac:dyDescent="0.2">
      <c r="A4" s="5">
        <v>1</v>
      </c>
      <c r="B4" s="6">
        <v>45322</v>
      </c>
      <c r="C4" s="5">
        <v>264</v>
      </c>
      <c r="D4" s="7">
        <v>82900</v>
      </c>
      <c r="E4" s="7"/>
      <c r="F4" s="7">
        <f>D4-E4</f>
        <v>82900</v>
      </c>
      <c r="G4" s="5"/>
    </row>
    <row r="5" spans="1:11" ht="23.25" x14ac:dyDescent="0.2">
      <c r="A5" s="9">
        <f>A4+1</f>
        <v>2</v>
      </c>
      <c r="B5" s="6"/>
      <c r="C5" s="5"/>
      <c r="D5" s="7"/>
      <c r="E5" s="7"/>
      <c r="F5" s="10">
        <f>F4+D5-E5</f>
        <v>82900</v>
      </c>
      <c r="G5" s="5"/>
    </row>
    <row r="6" spans="1:11" ht="23.25" x14ac:dyDescent="0.2">
      <c r="A6" s="9">
        <f t="shared" ref="A6:A17" si="0">A5+1</f>
        <v>3</v>
      </c>
      <c r="B6" s="6">
        <v>45328</v>
      </c>
      <c r="C6" s="5">
        <v>277</v>
      </c>
      <c r="D6" s="7">
        <v>10250</v>
      </c>
      <c r="E6" s="11"/>
      <c r="F6" s="11">
        <f>F5+D6-E6</f>
        <v>93150</v>
      </c>
      <c r="G6" s="5" t="s">
        <v>144</v>
      </c>
    </row>
    <row r="7" spans="1:11" ht="23.25" x14ac:dyDescent="0.2">
      <c r="A7" s="9">
        <f t="shared" si="0"/>
        <v>4</v>
      </c>
      <c r="B7" s="6"/>
      <c r="C7" s="5"/>
      <c r="D7" s="7"/>
      <c r="E7" s="11"/>
      <c r="F7" s="10">
        <f t="shared" ref="F7:F17" si="1">F6+D7-E7</f>
        <v>93150</v>
      </c>
      <c r="G7" s="5"/>
    </row>
    <row r="8" spans="1:11" ht="23.25" x14ac:dyDescent="0.2">
      <c r="A8" s="9">
        <f t="shared" si="0"/>
        <v>5</v>
      </c>
      <c r="B8" s="6">
        <v>45342</v>
      </c>
      <c r="C8" s="5">
        <v>324</v>
      </c>
      <c r="D8" s="7">
        <v>11277</v>
      </c>
      <c r="E8" s="11"/>
      <c r="F8" s="11">
        <f t="shared" si="1"/>
        <v>104427</v>
      </c>
      <c r="G8" s="5"/>
    </row>
    <row r="9" spans="1:11" ht="23.25" x14ac:dyDescent="0.2">
      <c r="A9" s="9">
        <f t="shared" si="0"/>
        <v>6</v>
      </c>
      <c r="B9" s="47"/>
      <c r="C9" s="46"/>
      <c r="D9" s="48"/>
      <c r="E9" s="11"/>
      <c r="F9" s="10">
        <f t="shared" si="1"/>
        <v>104427</v>
      </c>
      <c r="G9" s="5"/>
    </row>
    <row r="10" spans="1:11" ht="23.25" x14ac:dyDescent="0.2">
      <c r="A10" s="9">
        <f t="shared" si="0"/>
        <v>7</v>
      </c>
      <c r="B10" s="47">
        <v>45348</v>
      </c>
      <c r="C10" s="46">
        <v>372</v>
      </c>
      <c r="D10" s="48">
        <v>14000</v>
      </c>
      <c r="E10" s="11"/>
      <c r="F10" s="11">
        <f t="shared" si="1"/>
        <v>118427</v>
      </c>
      <c r="G10" s="5"/>
    </row>
    <row r="11" spans="1:11" ht="23.25" x14ac:dyDescent="0.2">
      <c r="A11" s="9">
        <f t="shared" si="0"/>
        <v>8</v>
      </c>
      <c r="B11" s="47"/>
      <c r="C11" s="46"/>
      <c r="D11" s="48"/>
      <c r="E11" s="11"/>
      <c r="F11" s="10">
        <f t="shared" si="1"/>
        <v>118427</v>
      </c>
      <c r="G11" s="5"/>
    </row>
    <row r="12" spans="1:11" ht="23.25" x14ac:dyDescent="0.2">
      <c r="A12" s="9">
        <f t="shared" si="0"/>
        <v>9</v>
      </c>
      <c r="B12" s="47">
        <v>45352</v>
      </c>
      <c r="C12" s="46">
        <v>356</v>
      </c>
      <c r="D12" s="48">
        <v>10250</v>
      </c>
      <c r="E12" s="11"/>
      <c r="F12" s="11">
        <f t="shared" si="1"/>
        <v>128677</v>
      </c>
      <c r="G12" s="5" t="s">
        <v>144</v>
      </c>
    </row>
    <row r="13" spans="1:11" ht="23.25" x14ac:dyDescent="0.2">
      <c r="A13" s="9">
        <f t="shared" si="0"/>
        <v>10</v>
      </c>
      <c r="B13" s="47"/>
      <c r="C13" s="46"/>
      <c r="D13" s="48"/>
      <c r="E13" s="11">
        <v>85000</v>
      </c>
      <c r="F13" s="11">
        <f t="shared" ref="F13:F14" si="2">F12+D13-E13</f>
        <v>43677</v>
      </c>
      <c r="G13" s="5"/>
    </row>
    <row r="14" spans="1:11" ht="23.25" x14ac:dyDescent="0.2">
      <c r="A14" s="9">
        <f t="shared" si="0"/>
        <v>11</v>
      </c>
      <c r="B14" s="47">
        <v>45358</v>
      </c>
      <c r="C14" s="46">
        <v>369</v>
      </c>
      <c r="D14" s="48">
        <v>12740</v>
      </c>
      <c r="E14" s="11"/>
      <c r="F14" s="11">
        <f t="shared" si="2"/>
        <v>56417</v>
      </c>
      <c r="G14" s="5"/>
    </row>
    <row r="15" spans="1:11" ht="23.25" x14ac:dyDescent="0.2">
      <c r="A15" s="9">
        <f t="shared" si="0"/>
        <v>12</v>
      </c>
      <c r="B15" s="47"/>
      <c r="C15" s="46"/>
      <c r="D15" s="48"/>
      <c r="E15" s="11"/>
      <c r="F15" s="10">
        <f t="shared" si="1"/>
        <v>56417</v>
      </c>
      <c r="G15" s="9"/>
    </row>
    <row r="16" spans="1:11" ht="23.25" x14ac:dyDescent="0.2">
      <c r="A16" s="9">
        <f t="shared" si="0"/>
        <v>13</v>
      </c>
      <c r="B16" s="47"/>
      <c r="C16" s="46"/>
      <c r="D16" s="48"/>
      <c r="E16" s="11"/>
      <c r="F16" s="10">
        <f t="shared" si="1"/>
        <v>56417</v>
      </c>
      <c r="G16" s="9"/>
    </row>
    <row r="17" spans="1:9" ht="24" thickBot="1" x14ac:dyDescent="0.25">
      <c r="A17" s="13">
        <f t="shared" si="0"/>
        <v>14</v>
      </c>
      <c r="B17" s="14"/>
      <c r="C17" s="15"/>
      <c r="D17" s="16"/>
      <c r="E17" s="17"/>
      <c r="F17" s="10">
        <f t="shared" si="1"/>
        <v>56417</v>
      </c>
      <c r="G17" s="13"/>
    </row>
    <row r="18" spans="1:9" ht="23.25" x14ac:dyDescent="0.2">
      <c r="A18" s="41" t="s">
        <v>8</v>
      </c>
      <c r="B18" s="42"/>
      <c r="C18" s="42"/>
      <c r="D18" s="43">
        <f>SUM(D4:D17)</f>
        <v>141417</v>
      </c>
      <c r="E18" s="44">
        <f>SUM(E4:E17)</f>
        <v>85000</v>
      </c>
      <c r="F18" s="44">
        <f>F17</f>
        <v>56417</v>
      </c>
      <c r="G18" s="45"/>
      <c r="I18">
        <f>Table137[[#This Row],[المبلغ المستلم]]-Table137[[#This Row],[توريد بضاعة]]</f>
        <v>-56417</v>
      </c>
    </row>
  </sheetData>
  <pageMargins left="0.25" right="0.25" top="0.75" bottom="0.75" header="0.3" footer="0.3"/>
  <pageSetup scale="66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12"/>
  <sheetViews>
    <sheetView rightToLeft="1" zoomScale="80" zoomScaleNormal="80" workbookViewId="0">
      <selection activeCell="G1" sqref="A1:G17"/>
    </sheetView>
  </sheetViews>
  <sheetFormatPr defaultRowHeight="14.25" x14ac:dyDescent="0.2"/>
  <cols>
    <col min="1" max="1" width="9.75" bestFit="1" customWidth="1"/>
    <col min="2" max="2" width="16.875" bestFit="1" customWidth="1"/>
    <col min="3" max="3" width="15.75" bestFit="1" customWidth="1"/>
    <col min="4" max="4" width="17.875" bestFit="1" customWidth="1"/>
    <col min="5" max="5" width="15.875" bestFit="1" customWidth="1"/>
    <col min="6" max="7" width="12.5" bestFit="1" customWidth="1"/>
  </cols>
  <sheetData>
    <row r="1" spans="1:11" ht="23.25" x14ac:dyDescent="0.35">
      <c r="A1" s="1"/>
      <c r="B1" s="1"/>
      <c r="C1" s="1" t="s">
        <v>20</v>
      </c>
      <c r="D1" s="83" t="s">
        <v>85</v>
      </c>
      <c r="E1" s="1"/>
      <c r="F1" s="1"/>
      <c r="G1" s="1"/>
    </row>
    <row r="2" spans="1:11" ht="23.25" x14ac:dyDescent="0.35">
      <c r="A2" s="1"/>
      <c r="B2" s="1"/>
      <c r="C2" s="1"/>
      <c r="D2" s="1"/>
      <c r="E2" s="1"/>
      <c r="F2" s="1"/>
      <c r="G2" s="1"/>
    </row>
    <row r="3" spans="1:11" ht="24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</row>
    <row r="4" spans="1:11" ht="23.25" x14ac:dyDescent="0.2">
      <c r="A4" s="5">
        <v>1</v>
      </c>
      <c r="B4" s="6">
        <v>45322</v>
      </c>
      <c r="C4" s="5">
        <v>262</v>
      </c>
      <c r="D4" s="7">
        <v>58000</v>
      </c>
      <c r="E4" s="7"/>
      <c r="F4" s="7">
        <f>D4-E4</f>
        <v>58000</v>
      </c>
      <c r="G4" s="5"/>
      <c r="J4" s="84" t="s">
        <v>142</v>
      </c>
      <c r="K4" s="84"/>
    </row>
    <row r="5" spans="1:11" ht="23.25" x14ac:dyDescent="0.2">
      <c r="A5" s="9">
        <f>A4+1</f>
        <v>2</v>
      </c>
      <c r="B5" s="6">
        <v>45330</v>
      </c>
      <c r="C5" s="5">
        <v>282</v>
      </c>
      <c r="D5" s="7">
        <v>68000</v>
      </c>
      <c r="E5" s="7">
        <v>50000</v>
      </c>
      <c r="F5" s="10">
        <f t="shared" ref="F5:F11" si="0">F4+D5-E5</f>
        <v>76000</v>
      </c>
      <c r="G5" s="5"/>
    </row>
    <row r="6" spans="1:11" ht="23.25" x14ac:dyDescent="0.2">
      <c r="A6" s="9">
        <f t="shared" ref="A6:A11" si="1">A5+1</f>
        <v>3</v>
      </c>
      <c r="B6" s="6"/>
      <c r="C6" s="5"/>
      <c r="D6" s="7"/>
      <c r="E6" s="11"/>
      <c r="F6" s="11">
        <f t="shared" si="0"/>
        <v>76000</v>
      </c>
      <c r="G6" s="5"/>
    </row>
    <row r="7" spans="1:11" ht="23.25" x14ac:dyDescent="0.2">
      <c r="A7" s="9">
        <f t="shared" si="1"/>
        <v>4</v>
      </c>
      <c r="B7" s="6">
        <v>45346</v>
      </c>
      <c r="C7" s="5">
        <v>323</v>
      </c>
      <c r="D7" s="7">
        <v>73280</v>
      </c>
      <c r="E7" s="11">
        <v>40000</v>
      </c>
      <c r="F7" s="10">
        <f t="shared" si="0"/>
        <v>109280</v>
      </c>
      <c r="G7" s="5"/>
    </row>
    <row r="8" spans="1:11" ht="23.25" x14ac:dyDescent="0.2">
      <c r="A8" s="9">
        <f t="shared" si="1"/>
        <v>5</v>
      </c>
      <c r="B8" s="6"/>
      <c r="C8" s="5"/>
      <c r="D8" s="7"/>
      <c r="E8" s="11"/>
      <c r="F8" s="11">
        <f t="shared" si="0"/>
        <v>109280</v>
      </c>
      <c r="G8" s="5"/>
    </row>
    <row r="9" spans="1:11" ht="23.25" x14ac:dyDescent="0.2">
      <c r="A9" s="9">
        <f t="shared" si="1"/>
        <v>6</v>
      </c>
      <c r="B9" s="47">
        <v>45350</v>
      </c>
      <c r="C9" s="46">
        <v>347</v>
      </c>
      <c r="D9" s="48">
        <v>70980</v>
      </c>
      <c r="E9" s="11">
        <v>24000</v>
      </c>
      <c r="F9" s="10">
        <f t="shared" si="0"/>
        <v>156260</v>
      </c>
      <c r="G9" s="5"/>
    </row>
    <row r="10" spans="1:11" ht="23.25" x14ac:dyDescent="0.2">
      <c r="A10" s="9">
        <f t="shared" si="1"/>
        <v>7</v>
      </c>
      <c r="B10" s="47">
        <v>45363</v>
      </c>
      <c r="C10" s="46"/>
      <c r="D10" s="48"/>
      <c r="E10" s="11">
        <v>27000</v>
      </c>
      <c r="F10" s="10">
        <f t="shared" si="0"/>
        <v>129260</v>
      </c>
      <c r="G10" s="9"/>
    </row>
    <row r="11" spans="1:11" ht="24" thickBot="1" x14ac:dyDescent="0.25">
      <c r="A11" s="13">
        <f t="shared" si="1"/>
        <v>8</v>
      </c>
      <c r="B11" s="14"/>
      <c r="C11" s="15"/>
      <c r="D11" s="16"/>
      <c r="E11" s="17"/>
      <c r="F11" s="10">
        <f t="shared" si="0"/>
        <v>129260</v>
      </c>
      <c r="G11" s="13"/>
    </row>
    <row r="12" spans="1:11" ht="23.25" x14ac:dyDescent="0.2">
      <c r="A12" s="41" t="s">
        <v>8</v>
      </c>
      <c r="B12" s="42"/>
      <c r="C12" s="42"/>
      <c r="D12" s="43">
        <f>SUM(D4:D11)</f>
        <v>270260</v>
      </c>
      <c r="E12" s="44">
        <f>SUM(E4:E11)</f>
        <v>141000</v>
      </c>
      <c r="F12" s="44">
        <f>F11</f>
        <v>129260</v>
      </c>
      <c r="G12" s="45"/>
      <c r="I12">
        <f>Table13789[[#This Row],[توريد بضاعة]]-Table13789[[#This Row],[المبلغ المستلم]]</f>
        <v>129260</v>
      </c>
    </row>
  </sheetData>
  <pageMargins left="0.25" right="0.25" top="0.75" bottom="0.75" header="0.3" footer="0.3"/>
  <pageSetup scale="68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12"/>
  <sheetViews>
    <sheetView rightToLeft="1" zoomScale="80" zoomScaleNormal="80" workbookViewId="0">
      <selection sqref="A1:XFD1048576"/>
    </sheetView>
  </sheetViews>
  <sheetFormatPr defaultRowHeight="14.25" x14ac:dyDescent="0.2"/>
  <cols>
    <col min="1" max="1" width="9.75" bestFit="1" customWidth="1"/>
    <col min="2" max="2" width="16.875" bestFit="1" customWidth="1"/>
    <col min="3" max="3" width="15.75" bestFit="1" customWidth="1"/>
    <col min="4" max="4" width="17.875" bestFit="1" customWidth="1"/>
    <col min="5" max="5" width="15.875" bestFit="1" customWidth="1"/>
    <col min="6" max="7" width="12.5" bestFit="1" customWidth="1"/>
  </cols>
  <sheetData>
    <row r="1" spans="1:11" ht="23.25" x14ac:dyDescent="0.35">
      <c r="A1" s="1"/>
      <c r="B1" s="1"/>
      <c r="C1" s="1" t="s">
        <v>20</v>
      </c>
      <c r="D1" s="83" t="s">
        <v>146</v>
      </c>
      <c r="E1" s="1"/>
      <c r="F1" s="1"/>
      <c r="G1" s="1"/>
    </row>
    <row r="2" spans="1:11" ht="23.25" x14ac:dyDescent="0.35">
      <c r="A2" s="1"/>
      <c r="B2" s="1"/>
      <c r="C2" s="1"/>
      <c r="D2" s="1"/>
      <c r="E2" s="1"/>
      <c r="F2" s="1"/>
      <c r="G2" s="1"/>
    </row>
    <row r="3" spans="1:11" ht="24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</row>
    <row r="4" spans="1:11" ht="23.25" x14ac:dyDescent="0.2">
      <c r="A4" s="5">
        <v>1</v>
      </c>
      <c r="B4" s="6">
        <v>45314</v>
      </c>
      <c r="C4" s="5">
        <v>253</v>
      </c>
      <c r="D4" s="7">
        <v>11500</v>
      </c>
      <c r="E4" s="7">
        <v>11500</v>
      </c>
      <c r="F4" s="7">
        <f>D4-E4</f>
        <v>0</v>
      </c>
      <c r="G4" s="5"/>
      <c r="J4" s="84" t="s">
        <v>142</v>
      </c>
      <c r="K4" s="84"/>
    </row>
    <row r="5" spans="1:11" ht="23.25" x14ac:dyDescent="0.2">
      <c r="A5" s="9">
        <f>A4+1</f>
        <v>2</v>
      </c>
      <c r="B5" s="6"/>
      <c r="C5" s="5"/>
      <c r="D5" s="7"/>
      <c r="E5" s="7"/>
      <c r="F5" s="10">
        <f t="shared" ref="F5:F11" si="0">F4+D5-E5</f>
        <v>0</v>
      </c>
      <c r="G5" s="5"/>
    </row>
    <row r="6" spans="1:11" ht="23.25" x14ac:dyDescent="0.2">
      <c r="A6" s="9">
        <f t="shared" ref="A6:A11" si="1">A5+1</f>
        <v>3</v>
      </c>
      <c r="B6" s="6">
        <v>45327</v>
      </c>
      <c r="C6" s="5">
        <v>275</v>
      </c>
      <c r="D6" s="7">
        <v>88850</v>
      </c>
      <c r="E6" s="11">
        <v>50850</v>
      </c>
      <c r="F6" s="11">
        <f t="shared" si="0"/>
        <v>38000</v>
      </c>
      <c r="G6" s="5"/>
    </row>
    <row r="7" spans="1:11" ht="23.25" x14ac:dyDescent="0.2">
      <c r="A7" s="9">
        <f t="shared" si="1"/>
        <v>4</v>
      </c>
      <c r="B7" s="6"/>
      <c r="C7" s="5"/>
      <c r="D7" s="7"/>
      <c r="E7" s="11"/>
      <c r="F7" s="10">
        <f t="shared" si="0"/>
        <v>38000</v>
      </c>
      <c r="G7" s="5"/>
    </row>
    <row r="8" spans="1:11" ht="23.25" x14ac:dyDescent="0.2">
      <c r="A8" s="9">
        <f t="shared" si="1"/>
        <v>5</v>
      </c>
      <c r="B8" s="6">
        <v>45343</v>
      </c>
      <c r="C8" s="5">
        <v>312</v>
      </c>
      <c r="D8" s="7">
        <v>40000</v>
      </c>
      <c r="E8" s="11">
        <v>48000</v>
      </c>
      <c r="F8" s="11">
        <f t="shared" si="0"/>
        <v>30000</v>
      </c>
      <c r="G8" s="5"/>
    </row>
    <row r="9" spans="1:11" ht="23.25" x14ac:dyDescent="0.2">
      <c r="A9" s="9">
        <f t="shared" si="1"/>
        <v>6</v>
      </c>
      <c r="B9" s="47"/>
      <c r="C9" s="46"/>
      <c r="D9" s="48"/>
      <c r="E9" s="11"/>
      <c r="F9" s="10">
        <f t="shared" si="0"/>
        <v>30000</v>
      </c>
      <c r="G9" s="5"/>
    </row>
    <row r="10" spans="1:11" ht="23.25" x14ac:dyDescent="0.2">
      <c r="A10" s="9">
        <f t="shared" si="1"/>
        <v>7</v>
      </c>
      <c r="B10" s="47"/>
      <c r="C10" s="46"/>
      <c r="D10" s="48"/>
      <c r="E10" s="11"/>
      <c r="F10" s="10">
        <f t="shared" si="0"/>
        <v>30000</v>
      </c>
      <c r="G10" s="9"/>
    </row>
    <row r="11" spans="1:11" ht="24" thickBot="1" x14ac:dyDescent="0.25">
      <c r="A11" s="13">
        <f t="shared" si="1"/>
        <v>8</v>
      </c>
      <c r="B11" s="14"/>
      <c r="C11" s="15"/>
      <c r="D11" s="16"/>
      <c r="E11" s="17"/>
      <c r="F11" s="10">
        <f t="shared" si="0"/>
        <v>30000</v>
      </c>
      <c r="G11" s="13"/>
    </row>
    <row r="12" spans="1:11" ht="23.25" x14ac:dyDescent="0.2">
      <c r="A12" s="41" t="s">
        <v>8</v>
      </c>
      <c r="B12" s="42"/>
      <c r="C12" s="42"/>
      <c r="D12" s="43">
        <f>SUM(D4:D11)</f>
        <v>140350</v>
      </c>
      <c r="E12" s="44">
        <f>SUM(E4:E11)</f>
        <v>110350</v>
      </c>
      <c r="F12" s="44">
        <f>F11</f>
        <v>30000</v>
      </c>
      <c r="G12" s="45"/>
      <c r="I12">
        <f>Table1378[[#This Row],[توريد بضاعة]]-Table1378[[#This Row],[المبلغ المستلم]]</f>
        <v>30000</v>
      </c>
    </row>
  </sheetData>
  <pageMargins left="0.25" right="0.25" top="0.75" bottom="0.75" header="0.3" footer="0.3"/>
  <pageSetup scale="68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2"/>
  <sheetViews>
    <sheetView rightToLeft="1" zoomScale="70" zoomScaleNormal="70" workbookViewId="0">
      <selection activeCell="D16" sqref="D16"/>
    </sheetView>
  </sheetViews>
  <sheetFormatPr defaultRowHeight="14.25" x14ac:dyDescent="0.2"/>
  <cols>
    <col min="1" max="1" width="10.125" bestFit="1" customWidth="1"/>
    <col min="2" max="3" width="16.375" bestFit="1" customWidth="1"/>
    <col min="4" max="4" width="17.75" bestFit="1" customWidth="1"/>
    <col min="5" max="5" width="13.875" customWidth="1"/>
    <col min="6" max="6" width="12.125" bestFit="1" customWidth="1"/>
    <col min="7" max="7" width="21" bestFit="1" customWidth="1"/>
  </cols>
  <sheetData>
    <row r="1" spans="1:11" ht="23.25" x14ac:dyDescent="0.35">
      <c r="A1" s="1"/>
      <c r="B1" s="1"/>
      <c r="C1" s="1" t="s">
        <v>20</v>
      </c>
      <c r="D1" s="83" t="s">
        <v>141</v>
      </c>
      <c r="E1" s="1"/>
      <c r="F1" s="1"/>
      <c r="G1" s="1"/>
    </row>
    <row r="2" spans="1:11" ht="23.25" x14ac:dyDescent="0.35">
      <c r="A2" s="1"/>
      <c r="B2" s="1"/>
      <c r="C2" s="1"/>
      <c r="D2" s="1"/>
      <c r="E2" s="1"/>
      <c r="F2" s="1"/>
      <c r="G2" s="1"/>
    </row>
    <row r="3" spans="1:11" ht="46.5" customHeight="1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86" t="s">
        <v>5</v>
      </c>
      <c r="F3" s="51" t="s">
        <v>6</v>
      </c>
      <c r="G3" s="51" t="s">
        <v>7</v>
      </c>
      <c r="J3" s="84" t="s">
        <v>142</v>
      </c>
      <c r="K3" s="84"/>
    </row>
    <row r="4" spans="1:11" ht="23.25" x14ac:dyDescent="0.2">
      <c r="A4" s="5">
        <v>1</v>
      </c>
      <c r="B4" s="6">
        <v>45281</v>
      </c>
      <c r="C4" s="5">
        <v>216</v>
      </c>
      <c r="D4" s="7">
        <v>5432</v>
      </c>
      <c r="E4" s="7"/>
      <c r="F4" s="7">
        <f>D4-E4</f>
        <v>5432</v>
      </c>
      <c r="G4" s="5"/>
    </row>
    <row r="5" spans="1:11" ht="23.25" x14ac:dyDescent="0.2">
      <c r="A5" s="9">
        <f>A4+1</f>
        <v>2</v>
      </c>
      <c r="B5" s="6"/>
      <c r="C5" s="5"/>
      <c r="D5" s="7"/>
      <c r="E5" s="7"/>
      <c r="F5" s="11">
        <f>F4+D5-E5</f>
        <v>5432</v>
      </c>
      <c r="G5" s="5"/>
    </row>
    <row r="6" spans="1:11" ht="23.25" x14ac:dyDescent="0.2">
      <c r="A6" s="9">
        <f t="shared" ref="A6:A21" si="0">A5+1</f>
        <v>3</v>
      </c>
      <c r="B6" s="6">
        <v>45292</v>
      </c>
      <c r="C6" s="5">
        <v>230</v>
      </c>
      <c r="D6" s="7">
        <v>31152</v>
      </c>
      <c r="E6" s="11"/>
      <c r="F6" s="11">
        <f>F5+D6-E6</f>
        <v>36584</v>
      </c>
      <c r="G6" s="5"/>
    </row>
    <row r="7" spans="1:11" ht="23.25" x14ac:dyDescent="0.2">
      <c r="A7" s="9">
        <f t="shared" si="0"/>
        <v>4</v>
      </c>
      <c r="B7" s="6"/>
      <c r="C7" s="5"/>
      <c r="D7" s="7"/>
      <c r="E7" s="11"/>
      <c r="F7" s="11">
        <f t="shared" ref="F7:F21" si="1">F6+D7-E7</f>
        <v>36584</v>
      </c>
      <c r="G7" s="5"/>
    </row>
    <row r="8" spans="1:11" ht="23.25" x14ac:dyDescent="0.2">
      <c r="A8" s="9">
        <f t="shared" si="0"/>
        <v>5</v>
      </c>
      <c r="B8" s="6">
        <v>45310</v>
      </c>
      <c r="C8" s="5">
        <v>235</v>
      </c>
      <c r="D8" s="7">
        <v>18000</v>
      </c>
      <c r="E8" s="11"/>
      <c r="F8" s="11">
        <f t="shared" si="1"/>
        <v>54584</v>
      </c>
      <c r="G8" s="5"/>
    </row>
    <row r="9" spans="1:11" ht="23.25" x14ac:dyDescent="0.2">
      <c r="A9" s="9">
        <f t="shared" si="0"/>
        <v>6</v>
      </c>
      <c r="B9" s="47"/>
      <c r="C9" s="46"/>
      <c r="D9" s="48"/>
      <c r="E9" s="11"/>
      <c r="F9" s="11">
        <f t="shared" si="1"/>
        <v>54584</v>
      </c>
      <c r="G9" s="5"/>
    </row>
    <row r="10" spans="1:11" ht="23.25" x14ac:dyDescent="0.2">
      <c r="A10" s="9">
        <f t="shared" si="0"/>
        <v>7</v>
      </c>
      <c r="B10" s="47">
        <v>45315</v>
      </c>
      <c r="C10" s="46">
        <v>254</v>
      </c>
      <c r="D10" s="48">
        <v>100000</v>
      </c>
      <c r="E10" s="11"/>
      <c r="F10" s="11">
        <f t="shared" si="1"/>
        <v>154584</v>
      </c>
      <c r="G10" s="5"/>
      <c r="J10">
        <f>216084-2200</f>
        <v>213884</v>
      </c>
    </row>
    <row r="11" spans="1:11" ht="23.25" x14ac:dyDescent="0.2">
      <c r="A11" s="9">
        <f t="shared" si="0"/>
        <v>8</v>
      </c>
      <c r="B11" s="47"/>
      <c r="C11" s="46"/>
      <c r="D11" s="48"/>
      <c r="E11" s="11"/>
      <c r="F11" s="11">
        <f t="shared" si="1"/>
        <v>154584</v>
      </c>
      <c r="G11" s="5"/>
    </row>
    <row r="12" spans="1:11" ht="23.25" x14ac:dyDescent="0.2">
      <c r="A12" s="9">
        <f t="shared" si="0"/>
        <v>9</v>
      </c>
      <c r="B12" s="47">
        <v>45339</v>
      </c>
      <c r="C12" s="46">
        <v>299</v>
      </c>
      <c r="D12" s="48">
        <v>51800</v>
      </c>
      <c r="E12" s="11"/>
      <c r="F12" s="11">
        <f t="shared" si="1"/>
        <v>206384</v>
      </c>
      <c r="G12" s="5"/>
    </row>
    <row r="13" spans="1:11" ht="23.25" x14ac:dyDescent="0.2">
      <c r="A13" s="9">
        <f t="shared" si="0"/>
        <v>10</v>
      </c>
      <c r="B13" s="47"/>
      <c r="C13" s="46"/>
      <c r="D13" s="48"/>
      <c r="E13" s="11"/>
      <c r="F13" s="11">
        <f t="shared" si="1"/>
        <v>206384</v>
      </c>
      <c r="G13" s="5"/>
    </row>
    <row r="14" spans="1:11" ht="23.25" x14ac:dyDescent="0.2">
      <c r="A14" s="9">
        <f t="shared" si="0"/>
        <v>11</v>
      </c>
      <c r="B14" s="47">
        <v>45352</v>
      </c>
      <c r="C14" s="46">
        <v>357</v>
      </c>
      <c r="D14" s="48">
        <v>9700</v>
      </c>
      <c r="E14" s="11"/>
      <c r="F14" s="11">
        <f t="shared" si="1"/>
        <v>216084</v>
      </c>
      <c r="G14" s="5"/>
    </row>
    <row r="15" spans="1:11" ht="23.25" x14ac:dyDescent="0.2">
      <c r="A15" s="9">
        <f t="shared" si="0"/>
        <v>12</v>
      </c>
      <c r="B15" s="47"/>
      <c r="C15" s="46"/>
      <c r="D15" s="48"/>
      <c r="E15" s="11"/>
      <c r="F15" s="11">
        <f t="shared" si="1"/>
        <v>216084</v>
      </c>
      <c r="G15" s="9"/>
    </row>
    <row r="16" spans="1:11" ht="23.25" x14ac:dyDescent="0.2">
      <c r="A16" s="9">
        <f t="shared" si="0"/>
        <v>13</v>
      </c>
      <c r="B16" s="47"/>
      <c r="C16" s="46"/>
      <c r="D16" s="89">
        <v>-2200</v>
      </c>
      <c r="E16" s="11"/>
      <c r="F16" s="11">
        <f t="shared" si="1"/>
        <v>213884</v>
      </c>
      <c r="G16" s="9" t="s">
        <v>150</v>
      </c>
    </row>
    <row r="17" spans="1:9" ht="23.25" x14ac:dyDescent="0.2">
      <c r="A17" s="9">
        <f t="shared" si="0"/>
        <v>14</v>
      </c>
      <c r="B17" s="47"/>
      <c r="C17" s="46"/>
      <c r="D17" s="48"/>
      <c r="E17" s="11"/>
      <c r="F17" s="11">
        <f t="shared" si="1"/>
        <v>213884</v>
      </c>
      <c r="G17" s="9"/>
    </row>
    <row r="18" spans="1:9" ht="23.25" x14ac:dyDescent="0.2">
      <c r="A18" s="9">
        <f t="shared" si="0"/>
        <v>15</v>
      </c>
      <c r="B18" s="47"/>
      <c r="C18" s="46"/>
      <c r="D18" s="48"/>
      <c r="E18" s="11"/>
      <c r="F18" s="11">
        <f t="shared" si="1"/>
        <v>213884</v>
      </c>
      <c r="G18" s="9"/>
    </row>
    <row r="19" spans="1:9" ht="23.25" x14ac:dyDescent="0.2">
      <c r="A19" s="9">
        <f t="shared" si="0"/>
        <v>16</v>
      </c>
      <c r="B19" s="47"/>
      <c r="C19" s="46"/>
      <c r="D19" s="48"/>
      <c r="E19" s="11"/>
      <c r="F19" s="11">
        <f t="shared" si="1"/>
        <v>213884</v>
      </c>
      <c r="G19" s="9"/>
    </row>
    <row r="20" spans="1:9" ht="23.25" x14ac:dyDescent="0.2">
      <c r="A20" s="9">
        <f t="shared" si="0"/>
        <v>17</v>
      </c>
      <c r="B20" s="47"/>
      <c r="C20" s="46"/>
      <c r="D20" s="48"/>
      <c r="E20" s="11"/>
      <c r="F20" s="10">
        <f t="shared" si="1"/>
        <v>213884</v>
      </c>
      <c r="G20" s="9"/>
    </row>
    <row r="21" spans="1:9" ht="24" thickBot="1" x14ac:dyDescent="0.25">
      <c r="A21" s="13">
        <f t="shared" si="0"/>
        <v>18</v>
      </c>
      <c r="B21" s="14"/>
      <c r="C21" s="15"/>
      <c r="D21" s="16"/>
      <c r="E21" s="17"/>
      <c r="F21" s="10">
        <f t="shared" si="1"/>
        <v>213884</v>
      </c>
      <c r="G21" s="13"/>
    </row>
    <row r="22" spans="1:9" ht="23.25" x14ac:dyDescent="0.2">
      <c r="A22" s="41" t="s">
        <v>8</v>
      </c>
      <c r="B22" s="42"/>
      <c r="C22" s="42"/>
      <c r="D22" s="43">
        <f>SUM(D4:D21)</f>
        <v>213884</v>
      </c>
      <c r="E22" s="44">
        <f>SUM(E4:E21)</f>
        <v>0</v>
      </c>
      <c r="F22" s="44">
        <f>F21</f>
        <v>213884</v>
      </c>
      <c r="G22" s="45"/>
      <c r="I22">
        <f>Table13[[#This Row],[المبلغ المستلم]]-Table13[[#This Row],[توريد بضاعة]]</f>
        <v>-213884</v>
      </c>
    </row>
  </sheetData>
  <pageMargins left="0.25" right="0.25" top="0.75" bottom="0.75" header="0.3" footer="0.3"/>
  <pageSetup scale="65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J35"/>
  <sheetViews>
    <sheetView rightToLeft="1" zoomScale="70" zoomScaleNormal="70" workbookViewId="0">
      <pane xSplit="2" ySplit="3" topLeftCell="C21" activePane="bottomRight" state="frozen"/>
      <selection pane="topRight" activeCell="C1" sqref="C1"/>
      <selection pane="bottomLeft" activeCell="A4" sqref="A4"/>
      <selection pane="bottomRight" activeCell="F35" sqref="F35"/>
    </sheetView>
  </sheetViews>
  <sheetFormatPr defaultRowHeight="14.25" x14ac:dyDescent="0.2"/>
  <cols>
    <col min="1" max="1" width="9.75" bestFit="1" customWidth="1"/>
    <col min="2" max="2" width="16.25" bestFit="1" customWidth="1"/>
    <col min="3" max="3" width="17" bestFit="1" customWidth="1"/>
    <col min="4" max="4" width="18.625" bestFit="1" customWidth="1"/>
    <col min="5" max="5" width="17.375" customWidth="1"/>
    <col min="6" max="6" width="12" bestFit="1" customWidth="1"/>
    <col min="7" max="7" width="30.625" bestFit="1" customWidth="1"/>
    <col min="8" max="8" width="17.625" customWidth="1"/>
    <col min="9" max="9" width="7.625" bestFit="1" customWidth="1"/>
    <col min="10" max="10" width="12" bestFit="1" customWidth="1"/>
  </cols>
  <sheetData>
    <row r="1" spans="1:10" ht="23.25" x14ac:dyDescent="0.35">
      <c r="A1" s="1"/>
      <c r="B1" s="1"/>
      <c r="C1" s="1" t="s">
        <v>20</v>
      </c>
      <c r="D1" s="83" t="s">
        <v>19</v>
      </c>
      <c r="E1" s="1"/>
      <c r="F1" s="1"/>
      <c r="G1" s="1"/>
    </row>
    <row r="2" spans="1:10" ht="23.25" x14ac:dyDescent="0.35">
      <c r="A2" s="1"/>
      <c r="B2" s="1"/>
      <c r="C2" s="1"/>
      <c r="D2" s="1"/>
      <c r="E2" s="1"/>
      <c r="F2" s="1"/>
      <c r="G2" s="1"/>
    </row>
    <row r="3" spans="1:10" ht="38.25" customHeight="1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I3" s="84" t="s">
        <v>142</v>
      </c>
      <c r="J3" s="84"/>
    </row>
    <row r="4" spans="1:10" ht="23.25" x14ac:dyDescent="0.2">
      <c r="A4" s="5">
        <v>1</v>
      </c>
      <c r="B4" s="6" t="s">
        <v>149</v>
      </c>
      <c r="C4" s="5"/>
      <c r="D4" s="7">
        <v>25000</v>
      </c>
      <c r="E4" s="7"/>
      <c r="F4" s="7">
        <f>D4-E4</f>
        <v>25000</v>
      </c>
      <c r="G4" s="5" t="s">
        <v>148</v>
      </c>
    </row>
    <row r="5" spans="1:10" ht="23.25" x14ac:dyDescent="0.2">
      <c r="A5" s="9">
        <f>A4+1</f>
        <v>2</v>
      </c>
      <c r="B5" s="6">
        <v>45310</v>
      </c>
      <c r="C5" s="5">
        <v>236</v>
      </c>
      <c r="D5" s="7">
        <v>100000</v>
      </c>
      <c r="E5" s="7"/>
      <c r="F5" s="11">
        <f>F4+D5-E5</f>
        <v>125000</v>
      </c>
      <c r="G5" s="5"/>
    </row>
    <row r="6" spans="1:10" ht="23.25" x14ac:dyDescent="0.2">
      <c r="A6" s="9">
        <f>A5+1</f>
        <v>3</v>
      </c>
      <c r="B6" s="6">
        <v>45310</v>
      </c>
      <c r="C6" s="5"/>
      <c r="D6" s="7"/>
      <c r="E6" s="7">
        <v>100000</v>
      </c>
      <c r="F6" s="10">
        <f>F5+D6-E6</f>
        <v>25000</v>
      </c>
      <c r="G6" s="9" t="s">
        <v>25</v>
      </c>
    </row>
    <row r="7" spans="1:10" ht="23.25" x14ac:dyDescent="0.2">
      <c r="A7" s="9">
        <f>A6+1</f>
        <v>4</v>
      </c>
      <c r="B7" s="6"/>
      <c r="C7" s="5"/>
      <c r="D7" s="7"/>
      <c r="E7" s="11"/>
      <c r="F7" s="11">
        <f>F6+D7-E7</f>
        <v>25000</v>
      </c>
      <c r="G7" s="9"/>
    </row>
    <row r="8" spans="1:10" ht="23.25" x14ac:dyDescent="0.2">
      <c r="A8" s="9">
        <f>A7+1</f>
        <v>5</v>
      </c>
      <c r="B8" s="6">
        <v>45319</v>
      </c>
      <c r="C8" s="5">
        <v>258</v>
      </c>
      <c r="D8" s="7">
        <v>19000</v>
      </c>
      <c r="E8" s="11"/>
      <c r="F8" s="10">
        <f t="shared" ref="F8:F29" si="0">F7+D8-E8</f>
        <v>44000</v>
      </c>
      <c r="G8" s="11"/>
    </row>
    <row r="9" spans="1:10" ht="23.25" x14ac:dyDescent="0.2">
      <c r="A9" s="9">
        <f t="shared" ref="A9:A34" si="1">A8+1</f>
        <v>6</v>
      </c>
      <c r="B9" s="6"/>
      <c r="C9" s="5"/>
      <c r="D9" s="7"/>
      <c r="E9" s="11"/>
      <c r="F9" s="11">
        <f t="shared" si="0"/>
        <v>44000</v>
      </c>
      <c r="G9" s="9"/>
    </row>
    <row r="10" spans="1:10" ht="23.25" x14ac:dyDescent="0.2">
      <c r="A10" s="9">
        <f t="shared" si="1"/>
        <v>7</v>
      </c>
      <c r="B10" s="47">
        <v>45326</v>
      </c>
      <c r="C10" s="46">
        <v>273</v>
      </c>
      <c r="D10" s="48">
        <v>100250</v>
      </c>
      <c r="E10" s="11"/>
      <c r="F10" s="10">
        <f t="shared" si="0"/>
        <v>144250</v>
      </c>
      <c r="G10" s="9"/>
    </row>
    <row r="11" spans="1:10" ht="23.25" x14ac:dyDescent="0.2">
      <c r="A11" s="9">
        <f t="shared" si="1"/>
        <v>8</v>
      </c>
      <c r="B11" s="47">
        <v>45326</v>
      </c>
      <c r="C11" s="46"/>
      <c r="D11" s="48"/>
      <c r="E11" s="11">
        <v>60000</v>
      </c>
      <c r="F11" s="10">
        <f t="shared" si="0"/>
        <v>84250</v>
      </c>
      <c r="G11" s="9" t="s">
        <v>26</v>
      </c>
    </row>
    <row r="12" spans="1:10" ht="23.25" x14ac:dyDescent="0.2">
      <c r="A12" s="9">
        <f t="shared" si="1"/>
        <v>9</v>
      </c>
      <c r="B12" s="47"/>
      <c r="C12" s="46"/>
      <c r="D12" s="48"/>
      <c r="E12" s="11"/>
      <c r="F12" s="11">
        <f t="shared" si="0"/>
        <v>84250</v>
      </c>
      <c r="G12" s="9"/>
    </row>
    <row r="13" spans="1:10" ht="23.25" x14ac:dyDescent="0.2">
      <c r="A13" s="9">
        <f t="shared" si="1"/>
        <v>10</v>
      </c>
      <c r="B13" s="47">
        <v>45331</v>
      </c>
      <c r="C13" s="46">
        <v>284</v>
      </c>
      <c r="D13" s="48">
        <v>20000</v>
      </c>
      <c r="E13" s="11"/>
      <c r="F13" s="11">
        <f t="shared" si="0"/>
        <v>104250</v>
      </c>
      <c r="G13" s="9"/>
    </row>
    <row r="14" spans="1:10" ht="23.25" x14ac:dyDescent="0.2">
      <c r="A14" s="9">
        <f t="shared" si="1"/>
        <v>11</v>
      </c>
      <c r="B14" s="47"/>
      <c r="C14" s="46"/>
      <c r="D14" s="48"/>
      <c r="E14" s="11"/>
      <c r="F14" s="11">
        <f t="shared" si="0"/>
        <v>104250</v>
      </c>
      <c r="G14" s="9"/>
    </row>
    <row r="15" spans="1:10" ht="23.25" x14ac:dyDescent="0.2">
      <c r="A15" s="9">
        <f t="shared" si="1"/>
        <v>12</v>
      </c>
      <c r="B15" s="47">
        <v>45331</v>
      </c>
      <c r="C15" s="46">
        <v>287</v>
      </c>
      <c r="D15" s="48">
        <v>19000</v>
      </c>
      <c r="E15" s="11"/>
      <c r="F15" s="11">
        <f t="shared" si="0"/>
        <v>123250</v>
      </c>
      <c r="G15" s="9"/>
    </row>
    <row r="16" spans="1:10" ht="23.25" x14ac:dyDescent="0.2">
      <c r="A16" s="9">
        <f t="shared" si="1"/>
        <v>13</v>
      </c>
      <c r="B16" s="47">
        <v>45334</v>
      </c>
      <c r="C16" s="46"/>
      <c r="D16" s="48"/>
      <c r="E16" s="11">
        <v>60000</v>
      </c>
      <c r="F16" s="10">
        <f t="shared" si="0"/>
        <v>63250</v>
      </c>
      <c r="G16" s="9" t="s">
        <v>26</v>
      </c>
    </row>
    <row r="17" spans="1:7" ht="23.25" x14ac:dyDescent="0.2">
      <c r="A17" s="9">
        <f t="shared" si="1"/>
        <v>14</v>
      </c>
      <c r="B17" s="47"/>
      <c r="C17" s="46"/>
      <c r="D17" s="48"/>
      <c r="E17" s="11"/>
      <c r="F17" s="11">
        <f t="shared" si="0"/>
        <v>63250</v>
      </c>
      <c r="G17" s="9"/>
    </row>
    <row r="18" spans="1:7" ht="23.25" x14ac:dyDescent="0.2">
      <c r="A18" s="9">
        <f t="shared" si="1"/>
        <v>15</v>
      </c>
      <c r="B18" s="47">
        <v>45339</v>
      </c>
      <c r="C18" s="46">
        <v>302</v>
      </c>
      <c r="D18" s="48">
        <v>80600</v>
      </c>
      <c r="E18" s="11"/>
      <c r="F18" s="10">
        <f t="shared" si="0"/>
        <v>143850</v>
      </c>
      <c r="G18" s="9"/>
    </row>
    <row r="19" spans="1:7" ht="23.25" x14ac:dyDescent="0.2">
      <c r="A19" s="9">
        <f t="shared" si="1"/>
        <v>16</v>
      </c>
      <c r="B19" s="47"/>
      <c r="C19" s="46"/>
      <c r="D19" s="48"/>
      <c r="E19" s="11"/>
      <c r="F19" s="11">
        <f t="shared" si="0"/>
        <v>143850</v>
      </c>
      <c r="G19" s="9"/>
    </row>
    <row r="20" spans="1:7" ht="23.25" x14ac:dyDescent="0.2">
      <c r="A20" s="9">
        <f t="shared" si="1"/>
        <v>17</v>
      </c>
      <c r="B20" s="47">
        <v>45344</v>
      </c>
      <c r="C20" s="46"/>
      <c r="D20" s="48"/>
      <c r="E20" s="11">
        <v>100000</v>
      </c>
      <c r="F20" s="10">
        <f t="shared" si="0"/>
        <v>43850</v>
      </c>
      <c r="G20" s="9" t="s">
        <v>26</v>
      </c>
    </row>
    <row r="21" spans="1:7" ht="23.25" x14ac:dyDescent="0.2">
      <c r="A21" s="9">
        <f t="shared" si="1"/>
        <v>18</v>
      </c>
      <c r="B21" s="47"/>
      <c r="C21" s="46"/>
      <c r="D21" s="48"/>
      <c r="E21" s="11"/>
      <c r="F21" s="11">
        <f t="shared" si="0"/>
        <v>43850</v>
      </c>
      <c r="G21" s="9"/>
    </row>
    <row r="22" spans="1:7" ht="23.25" x14ac:dyDescent="0.2">
      <c r="A22" s="9">
        <f t="shared" si="1"/>
        <v>19</v>
      </c>
      <c r="B22" s="47">
        <v>45345</v>
      </c>
      <c r="C22" s="46">
        <v>316</v>
      </c>
      <c r="D22" s="48">
        <v>78000</v>
      </c>
      <c r="E22" s="11"/>
      <c r="F22" s="11">
        <f t="shared" si="0"/>
        <v>121850</v>
      </c>
      <c r="G22" s="9"/>
    </row>
    <row r="23" spans="1:7" ht="23.25" x14ac:dyDescent="0.2">
      <c r="A23" s="9">
        <f t="shared" si="1"/>
        <v>20</v>
      </c>
      <c r="B23" s="47"/>
      <c r="C23" s="46"/>
      <c r="D23" s="48"/>
      <c r="E23" s="11"/>
      <c r="F23" s="10">
        <f t="shared" si="0"/>
        <v>121850</v>
      </c>
      <c r="G23" s="9"/>
    </row>
    <row r="24" spans="1:7" ht="23.25" x14ac:dyDescent="0.2">
      <c r="A24" s="9">
        <f t="shared" si="1"/>
        <v>21</v>
      </c>
      <c r="B24" s="47"/>
      <c r="C24" s="46"/>
      <c r="D24" s="48"/>
      <c r="E24" s="11"/>
      <c r="F24" s="10">
        <f t="shared" si="0"/>
        <v>121850</v>
      </c>
      <c r="G24" s="9"/>
    </row>
    <row r="25" spans="1:7" ht="23.25" x14ac:dyDescent="0.2">
      <c r="A25" s="9">
        <f t="shared" si="1"/>
        <v>22</v>
      </c>
      <c r="B25" s="47">
        <v>45352</v>
      </c>
      <c r="C25" s="46">
        <v>354</v>
      </c>
      <c r="D25" s="48">
        <v>87600</v>
      </c>
      <c r="E25" s="11"/>
      <c r="F25" s="11">
        <f t="shared" si="0"/>
        <v>209450</v>
      </c>
      <c r="G25" s="9"/>
    </row>
    <row r="26" spans="1:7" ht="23.25" x14ac:dyDescent="0.2">
      <c r="A26" s="9">
        <f t="shared" si="1"/>
        <v>23</v>
      </c>
      <c r="B26" s="47"/>
      <c r="C26" s="46"/>
      <c r="D26" s="48"/>
      <c r="E26" s="11"/>
      <c r="F26" s="10">
        <f t="shared" si="0"/>
        <v>209450</v>
      </c>
      <c r="G26" s="9"/>
    </row>
    <row r="27" spans="1:7" ht="23.25" x14ac:dyDescent="0.2">
      <c r="A27" s="9">
        <f t="shared" si="1"/>
        <v>24</v>
      </c>
      <c r="B27" s="47"/>
      <c r="C27" s="46"/>
      <c r="D27" s="48"/>
      <c r="E27" s="11"/>
      <c r="F27" s="10">
        <f t="shared" si="0"/>
        <v>209450</v>
      </c>
      <c r="G27" s="9"/>
    </row>
    <row r="28" spans="1:7" ht="23.25" x14ac:dyDescent="0.2">
      <c r="A28" s="9">
        <f t="shared" si="1"/>
        <v>25</v>
      </c>
      <c r="B28" s="47"/>
      <c r="C28" s="46"/>
      <c r="D28" s="48"/>
      <c r="E28" s="11"/>
      <c r="F28" s="10">
        <f t="shared" si="0"/>
        <v>209450</v>
      </c>
      <c r="G28" s="9"/>
    </row>
    <row r="29" spans="1:7" ht="23.25" x14ac:dyDescent="0.2">
      <c r="A29" s="9">
        <f t="shared" si="1"/>
        <v>26</v>
      </c>
      <c r="B29" s="47">
        <v>45329</v>
      </c>
      <c r="C29" s="46">
        <v>370</v>
      </c>
      <c r="D29" s="48">
        <v>37520</v>
      </c>
      <c r="E29" s="11"/>
      <c r="F29" s="11">
        <f t="shared" si="0"/>
        <v>246970</v>
      </c>
      <c r="G29" s="9"/>
    </row>
    <row r="30" spans="1:7" ht="23.25" x14ac:dyDescent="0.2">
      <c r="A30" s="9">
        <f t="shared" si="1"/>
        <v>27</v>
      </c>
      <c r="B30" s="47"/>
      <c r="C30" s="46"/>
      <c r="D30" s="48"/>
      <c r="E30" s="11"/>
      <c r="F30" s="10">
        <f>F29+D30-E30</f>
        <v>246970</v>
      </c>
      <c r="G30" s="9"/>
    </row>
    <row r="31" spans="1:7" ht="23.25" x14ac:dyDescent="0.2">
      <c r="A31" s="9">
        <f t="shared" si="1"/>
        <v>28</v>
      </c>
      <c r="B31" s="47"/>
      <c r="C31" s="46"/>
      <c r="D31" s="48"/>
      <c r="E31" s="11"/>
      <c r="F31" s="10">
        <f>F30+D31-E31</f>
        <v>246970</v>
      </c>
      <c r="G31" s="9"/>
    </row>
    <row r="32" spans="1:7" ht="23.25" x14ac:dyDescent="0.2">
      <c r="A32" s="9">
        <f t="shared" si="1"/>
        <v>29</v>
      </c>
      <c r="B32" s="47"/>
      <c r="C32" s="46"/>
      <c r="D32" s="48"/>
      <c r="E32" s="11"/>
      <c r="F32" s="10">
        <f>F31+D32-E32</f>
        <v>246970</v>
      </c>
      <c r="G32" s="9"/>
    </row>
    <row r="33" spans="1:9" ht="23.25" x14ac:dyDescent="0.2">
      <c r="A33" s="9">
        <f t="shared" si="1"/>
        <v>30</v>
      </c>
      <c r="B33" s="47"/>
      <c r="C33" s="46"/>
      <c r="D33" s="48"/>
      <c r="E33" s="11"/>
      <c r="F33" s="10">
        <f>F32+D33-E33</f>
        <v>246970</v>
      </c>
      <c r="G33" s="9"/>
    </row>
    <row r="34" spans="1:9" ht="24" thickBot="1" x14ac:dyDescent="0.25">
      <c r="A34" s="13">
        <f t="shared" si="1"/>
        <v>31</v>
      </c>
      <c r="B34" s="14"/>
      <c r="C34" s="15"/>
      <c r="D34" s="16"/>
      <c r="E34" s="17"/>
      <c r="F34" s="10">
        <f>F33+D34-E34</f>
        <v>246970</v>
      </c>
      <c r="G34" s="13"/>
    </row>
    <row r="35" spans="1:9" ht="23.25" x14ac:dyDescent="0.2">
      <c r="A35" s="41" t="s">
        <v>8</v>
      </c>
      <c r="B35" s="42"/>
      <c r="C35" s="42"/>
      <c r="D35" s="43">
        <f>SUM(D4:D34)</f>
        <v>566970</v>
      </c>
      <c r="E35" s="44">
        <f>SUM(E4:E34)</f>
        <v>320000</v>
      </c>
      <c r="F35" s="44">
        <f>F34</f>
        <v>246970</v>
      </c>
      <c r="G35" s="45"/>
      <c r="H35">
        <f>Table1[[#This Row],[المبلغ المستلم]]-Table1[[#This Row],[توريد بضاعة]]</f>
        <v>-246970</v>
      </c>
      <c r="I35">
        <f>Table1[[#This Row],[توريد بضاعة]]-Table1[[#This Row],[المبلغ المستلم]]</f>
        <v>246970</v>
      </c>
    </row>
  </sheetData>
  <pageMargins left="0.25" right="0.25" top="0.75" bottom="0.75" header="0.3" footer="0.3"/>
  <pageSetup scale="5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R11"/>
  <sheetViews>
    <sheetView rightToLeft="1" zoomScale="80" zoomScaleNormal="80" workbookViewId="0">
      <selection activeCell="F11" sqref="F11"/>
    </sheetView>
  </sheetViews>
  <sheetFormatPr defaultRowHeight="14.25" x14ac:dyDescent="0.2"/>
  <cols>
    <col min="1" max="1" width="2.5" bestFit="1" customWidth="1"/>
    <col min="2" max="3" width="13.5" bestFit="1" customWidth="1"/>
    <col min="6" max="6" width="9" customWidth="1"/>
    <col min="7" max="7" width="4.625" bestFit="1" customWidth="1"/>
    <col min="10" max="10" width="6.375" bestFit="1" customWidth="1"/>
    <col min="13" max="13" width="9.5" customWidth="1"/>
    <col min="17" max="17" width="10" bestFit="1" customWidth="1"/>
  </cols>
  <sheetData>
    <row r="4" spans="1:18" ht="15" thickBot="1" x14ac:dyDescent="0.25"/>
    <row r="5" spans="1:18" ht="57" customHeight="1" thickBot="1" x14ac:dyDescent="0.25">
      <c r="A5" s="64" t="s">
        <v>1</v>
      </c>
      <c r="B5" s="65" t="s">
        <v>53</v>
      </c>
      <c r="C5" s="65" t="s">
        <v>11</v>
      </c>
      <c r="D5" s="65" t="s">
        <v>12</v>
      </c>
      <c r="E5" s="65" t="s">
        <v>54</v>
      </c>
      <c r="F5" s="65" t="s">
        <v>55</v>
      </c>
      <c r="G5" s="66" t="s">
        <v>56</v>
      </c>
      <c r="H5" s="65" t="s">
        <v>57</v>
      </c>
      <c r="I5" s="65" t="s">
        <v>100</v>
      </c>
      <c r="J5" s="65" t="s">
        <v>58</v>
      </c>
      <c r="K5" s="65" t="s">
        <v>59</v>
      </c>
      <c r="L5" s="65" t="s">
        <v>60</v>
      </c>
      <c r="M5" s="65" t="s">
        <v>61</v>
      </c>
      <c r="N5" s="65" t="s">
        <v>62</v>
      </c>
      <c r="O5" s="65" t="s">
        <v>63</v>
      </c>
      <c r="P5" s="65" t="s">
        <v>64</v>
      </c>
      <c r="Q5" s="65" t="s">
        <v>67</v>
      </c>
      <c r="R5" s="65" t="s">
        <v>7</v>
      </c>
    </row>
    <row r="6" spans="1:18" ht="25.5" customHeight="1" x14ac:dyDescent="0.2">
      <c r="A6" s="37">
        <v>1</v>
      </c>
      <c r="B6" s="37" t="s">
        <v>65</v>
      </c>
      <c r="C6" s="38">
        <v>45264</v>
      </c>
      <c r="D6" s="37">
        <v>737</v>
      </c>
      <c r="E6" s="37">
        <v>4635</v>
      </c>
      <c r="F6" s="37">
        <v>6700</v>
      </c>
      <c r="G6" s="37">
        <v>0</v>
      </c>
      <c r="H6" s="39">
        <v>15</v>
      </c>
      <c r="I6" s="39"/>
      <c r="J6" s="39">
        <f t="shared" ref="J6:J11" si="0">G6*2</f>
        <v>0</v>
      </c>
      <c r="K6" s="39">
        <f t="shared" ref="K6:K11" si="1">F6-E6-J6</f>
        <v>2065</v>
      </c>
      <c r="L6" s="67">
        <f t="shared" ref="L6:L11" si="2">K6/45</f>
        <v>45.888888888888886</v>
      </c>
      <c r="M6" s="68">
        <f t="shared" ref="M6:M11" si="3">K6*H6+I6</f>
        <v>30975</v>
      </c>
      <c r="N6" s="68"/>
      <c r="O6" s="68"/>
      <c r="P6" s="68"/>
      <c r="Q6" s="68">
        <f t="shared" ref="Q6:Q11" si="4">M6-(P6+O6+N6)</f>
        <v>30975</v>
      </c>
      <c r="R6" s="67"/>
    </row>
    <row r="7" spans="1:18" ht="25.5" customHeight="1" x14ac:dyDescent="0.2">
      <c r="A7" s="37">
        <f>A6+1</f>
        <v>2</v>
      </c>
      <c r="B7" s="37" t="s">
        <v>52</v>
      </c>
      <c r="C7" s="38">
        <v>45296</v>
      </c>
      <c r="D7" s="37">
        <v>232</v>
      </c>
      <c r="E7" s="37">
        <v>3890</v>
      </c>
      <c r="F7" s="37">
        <v>11250</v>
      </c>
      <c r="G7" s="37"/>
      <c r="H7" s="39">
        <v>14</v>
      </c>
      <c r="I7" s="39"/>
      <c r="J7" s="39">
        <f t="shared" si="0"/>
        <v>0</v>
      </c>
      <c r="K7" s="39">
        <f t="shared" si="1"/>
        <v>7360</v>
      </c>
      <c r="L7" s="67">
        <f t="shared" si="2"/>
        <v>163.55555555555554</v>
      </c>
      <c r="M7" s="68">
        <f t="shared" si="3"/>
        <v>103040</v>
      </c>
      <c r="N7" s="68"/>
      <c r="O7" s="68"/>
      <c r="P7" s="68"/>
      <c r="Q7" s="68">
        <f t="shared" si="4"/>
        <v>103040</v>
      </c>
      <c r="R7" s="37"/>
    </row>
    <row r="8" spans="1:18" ht="25.5" customHeight="1" x14ac:dyDescent="0.2">
      <c r="A8" s="37">
        <f>A7+1</f>
        <v>3</v>
      </c>
      <c r="B8" s="37" t="s">
        <v>66</v>
      </c>
      <c r="C8" s="38">
        <v>45335</v>
      </c>
      <c r="D8" s="37">
        <v>292</v>
      </c>
      <c r="E8" s="37">
        <v>6925</v>
      </c>
      <c r="F8" s="37">
        <v>10305</v>
      </c>
      <c r="G8" s="37"/>
      <c r="H8" s="39">
        <v>14</v>
      </c>
      <c r="I8" s="39">
        <v>1000</v>
      </c>
      <c r="J8" s="39">
        <f t="shared" si="0"/>
        <v>0</v>
      </c>
      <c r="K8" s="39">
        <f t="shared" si="1"/>
        <v>3380</v>
      </c>
      <c r="L8" s="67">
        <f t="shared" si="2"/>
        <v>75.111111111111114</v>
      </c>
      <c r="M8" s="68">
        <f t="shared" si="3"/>
        <v>48320</v>
      </c>
      <c r="N8" s="68"/>
      <c r="O8" s="68"/>
      <c r="P8" s="68"/>
      <c r="Q8" s="68">
        <f t="shared" si="4"/>
        <v>48320</v>
      </c>
      <c r="R8" s="37"/>
    </row>
    <row r="9" spans="1:18" ht="18" x14ac:dyDescent="0.2">
      <c r="A9" s="37">
        <f>A8+1</f>
        <v>4</v>
      </c>
      <c r="B9" s="37"/>
      <c r="C9" s="38"/>
      <c r="D9" s="37"/>
      <c r="E9" s="37"/>
      <c r="F9" s="37"/>
      <c r="G9" s="37"/>
      <c r="H9" s="39"/>
      <c r="I9" s="39"/>
      <c r="J9" s="39">
        <f t="shared" si="0"/>
        <v>0</v>
      </c>
      <c r="K9" s="39">
        <f t="shared" si="1"/>
        <v>0</v>
      </c>
      <c r="L9" s="67">
        <f t="shared" si="2"/>
        <v>0</v>
      </c>
      <c r="M9" s="68">
        <f t="shared" si="3"/>
        <v>0</v>
      </c>
      <c r="N9" s="68"/>
      <c r="O9" s="68"/>
      <c r="P9" s="68"/>
      <c r="Q9" s="68">
        <f t="shared" si="4"/>
        <v>0</v>
      </c>
      <c r="R9" s="37"/>
    </row>
    <row r="10" spans="1:18" ht="18" x14ac:dyDescent="0.2">
      <c r="A10" s="37">
        <f>A9+1</f>
        <v>5</v>
      </c>
      <c r="B10" s="37"/>
      <c r="C10" s="38"/>
      <c r="D10" s="37"/>
      <c r="E10" s="37"/>
      <c r="F10" s="37"/>
      <c r="G10" s="37"/>
      <c r="H10" s="39"/>
      <c r="I10" s="39"/>
      <c r="J10" s="39">
        <f t="shared" si="0"/>
        <v>0</v>
      </c>
      <c r="K10" s="39">
        <f t="shared" si="1"/>
        <v>0</v>
      </c>
      <c r="L10" s="67">
        <f t="shared" si="2"/>
        <v>0</v>
      </c>
      <c r="M10" s="68">
        <f t="shared" si="3"/>
        <v>0</v>
      </c>
      <c r="N10" s="68"/>
      <c r="O10" s="68"/>
      <c r="P10" s="68"/>
      <c r="Q10" s="68">
        <f t="shared" si="4"/>
        <v>0</v>
      </c>
      <c r="R10" s="37"/>
    </row>
    <row r="11" spans="1:18" ht="18" x14ac:dyDescent="0.2">
      <c r="A11" s="37">
        <f>A10+1</f>
        <v>6</v>
      </c>
      <c r="B11" s="37"/>
      <c r="C11" s="38"/>
      <c r="D11" s="37"/>
      <c r="E11" s="37"/>
      <c r="F11" s="37"/>
      <c r="G11" s="37"/>
      <c r="H11" s="39"/>
      <c r="I11" s="39"/>
      <c r="J11" s="39">
        <f t="shared" si="0"/>
        <v>0</v>
      </c>
      <c r="K11" s="39">
        <f t="shared" si="1"/>
        <v>0</v>
      </c>
      <c r="L11" s="67">
        <f t="shared" si="2"/>
        <v>0</v>
      </c>
      <c r="M11" s="68">
        <f t="shared" si="3"/>
        <v>0</v>
      </c>
      <c r="N11" s="68"/>
      <c r="O11" s="68"/>
      <c r="P11" s="68"/>
      <c r="Q11" s="68">
        <f t="shared" si="4"/>
        <v>0</v>
      </c>
      <c r="R11" s="3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36"/>
  <sheetViews>
    <sheetView rightToLeft="1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8" sqref="I8"/>
    </sheetView>
  </sheetViews>
  <sheetFormatPr defaultRowHeight="14.25" x14ac:dyDescent="0.2"/>
  <cols>
    <col min="1" max="1" width="4.625" bestFit="1" customWidth="1"/>
    <col min="2" max="2" width="16.25" bestFit="1" customWidth="1"/>
    <col min="3" max="3" width="13.25" bestFit="1" customWidth="1"/>
    <col min="4" max="4" width="28" bestFit="1" customWidth="1"/>
    <col min="5" max="5" width="13.875" bestFit="1" customWidth="1"/>
    <col min="6" max="6" width="12" bestFit="1" customWidth="1"/>
    <col min="7" max="7" width="10.5" bestFit="1" customWidth="1"/>
  </cols>
  <sheetData>
    <row r="1" spans="1:10" ht="23.25" x14ac:dyDescent="0.35">
      <c r="A1" s="1"/>
      <c r="B1" s="1"/>
      <c r="C1" s="1"/>
      <c r="D1" s="36" t="s">
        <v>0</v>
      </c>
      <c r="E1" s="1"/>
      <c r="F1" s="1"/>
      <c r="G1" s="1"/>
    </row>
    <row r="2" spans="1:10" ht="24" thickBot="1" x14ac:dyDescent="0.4">
      <c r="A2" s="1"/>
      <c r="B2" s="1"/>
      <c r="C2" s="1"/>
      <c r="D2" s="1"/>
      <c r="E2" s="1"/>
      <c r="F2" s="1"/>
      <c r="G2" s="1"/>
    </row>
    <row r="3" spans="1:10" ht="24" thickBot="1" x14ac:dyDescent="0.4">
      <c r="A3" s="2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I3" s="84" t="s">
        <v>142</v>
      </c>
      <c r="J3" s="84"/>
    </row>
    <row r="4" spans="1:10" ht="23.25" x14ac:dyDescent="0.2">
      <c r="A4" s="5">
        <v>1</v>
      </c>
      <c r="B4" s="6">
        <v>45295</v>
      </c>
      <c r="C4" s="5">
        <v>231</v>
      </c>
      <c r="D4" s="7">
        <v>40375</v>
      </c>
      <c r="E4" s="7"/>
      <c r="F4" s="8">
        <f>D4-E4</f>
        <v>40375</v>
      </c>
      <c r="G4" s="5"/>
    </row>
    <row r="5" spans="1:10" ht="23.25" x14ac:dyDescent="0.2">
      <c r="A5" s="9">
        <f>A4+1</f>
        <v>2</v>
      </c>
      <c r="B5" s="6">
        <v>45299</v>
      </c>
      <c r="C5" s="5"/>
      <c r="D5" s="7"/>
      <c r="E5" s="7">
        <v>23000</v>
      </c>
      <c r="F5" s="10">
        <f>F4+D5-E5</f>
        <v>17375</v>
      </c>
      <c r="G5" s="9"/>
    </row>
    <row r="6" spans="1:10" ht="23.25" x14ac:dyDescent="0.2">
      <c r="A6" s="9">
        <f t="shared" ref="A6:A35" si="0">A5+1</f>
        <v>3</v>
      </c>
      <c r="B6" s="6">
        <v>45302</v>
      </c>
      <c r="C6" s="5"/>
      <c r="D6" s="7"/>
      <c r="E6" s="11">
        <v>10000</v>
      </c>
      <c r="F6" s="10">
        <f t="shared" ref="F6:F35" si="1">F5+D6-E6</f>
        <v>7375</v>
      </c>
      <c r="G6" s="9"/>
    </row>
    <row r="7" spans="1:10" ht="23.25" x14ac:dyDescent="0.2">
      <c r="A7" s="9">
        <f t="shared" si="0"/>
        <v>4</v>
      </c>
      <c r="B7" s="6">
        <v>45305</v>
      </c>
      <c r="C7" s="5"/>
      <c r="D7" s="7"/>
      <c r="E7" s="11">
        <v>5000</v>
      </c>
      <c r="F7" s="10">
        <f t="shared" si="1"/>
        <v>2375</v>
      </c>
      <c r="G7" s="9"/>
    </row>
    <row r="8" spans="1:10" ht="23.25" x14ac:dyDescent="0.2">
      <c r="A8" s="9">
        <f t="shared" si="0"/>
        <v>5</v>
      </c>
      <c r="B8" s="6"/>
      <c r="C8" s="5"/>
      <c r="D8" s="7"/>
      <c r="E8" s="11"/>
      <c r="F8" s="12">
        <f t="shared" si="1"/>
        <v>2375</v>
      </c>
      <c r="G8" s="9"/>
    </row>
    <row r="9" spans="1:10" ht="23.25" x14ac:dyDescent="0.2">
      <c r="A9" s="9">
        <f t="shared" si="0"/>
        <v>6</v>
      </c>
      <c r="B9" s="6">
        <v>45313</v>
      </c>
      <c r="C9" s="5">
        <v>251</v>
      </c>
      <c r="D9" s="7">
        <v>40000</v>
      </c>
      <c r="E9" s="11"/>
      <c r="F9" s="10">
        <f t="shared" si="1"/>
        <v>42375</v>
      </c>
      <c r="G9" s="9"/>
    </row>
    <row r="10" spans="1:10" ht="23.25" x14ac:dyDescent="0.2">
      <c r="A10" s="9">
        <f t="shared" si="0"/>
        <v>7</v>
      </c>
      <c r="B10" s="6">
        <v>45315</v>
      </c>
      <c r="C10" s="5"/>
      <c r="D10" s="7"/>
      <c r="E10" s="12">
        <v>10000</v>
      </c>
      <c r="F10" s="10">
        <f t="shared" si="1"/>
        <v>32375</v>
      </c>
      <c r="G10" s="9"/>
    </row>
    <row r="11" spans="1:10" ht="23.25" x14ac:dyDescent="0.2">
      <c r="A11" s="9">
        <f t="shared" si="0"/>
        <v>8</v>
      </c>
      <c r="B11" s="6">
        <v>45321</v>
      </c>
      <c r="C11" s="5"/>
      <c r="D11" s="7"/>
      <c r="E11" s="11">
        <v>14000</v>
      </c>
      <c r="F11" s="10">
        <f t="shared" si="1"/>
        <v>18375</v>
      </c>
      <c r="G11" s="9"/>
    </row>
    <row r="12" spans="1:10" ht="23.25" x14ac:dyDescent="0.2">
      <c r="A12" s="9">
        <f t="shared" si="0"/>
        <v>9</v>
      </c>
      <c r="B12" s="6"/>
      <c r="C12" s="5"/>
      <c r="D12" s="7"/>
      <c r="E12" s="11"/>
      <c r="F12" s="12">
        <f t="shared" si="1"/>
        <v>18375</v>
      </c>
      <c r="G12" s="9"/>
    </row>
    <row r="13" spans="1:10" ht="23.25" x14ac:dyDescent="0.2">
      <c r="A13" s="9">
        <f t="shared" si="0"/>
        <v>10</v>
      </c>
      <c r="B13" s="6">
        <v>45326</v>
      </c>
      <c r="C13" s="5">
        <v>271</v>
      </c>
      <c r="D13" s="7">
        <v>63572</v>
      </c>
      <c r="E13" s="11"/>
      <c r="F13" s="10">
        <f t="shared" si="1"/>
        <v>81947</v>
      </c>
      <c r="G13" s="9"/>
    </row>
    <row r="14" spans="1:10" ht="23.25" x14ac:dyDescent="0.2">
      <c r="A14" s="9">
        <f t="shared" si="0"/>
        <v>11</v>
      </c>
      <c r="B14" s="6">
        <v>45327</v>
      </c>
      <c r="C14" s="5"/>
      <c r="D14" s="7"/>
      <c r="E14" s="11">
        <v>23000</v>
      </c>
      <c r="F14" s="10">
        <f t="shared" si="1"/>
        <v>58947</v>
      </c>
      <c r="G14" s="9"/>
    </row>
    <row r="15" spans="1:10" ht="23.25" x14ac:dyDescent="0.2">
      <c r="A15" s="9">
        <f t="shared" si="0"/>
        <v>12</v>
      </c>
      <c r="B15" s="6">
        <v>45330</v>
      </c>
      <c r="C15" s="5"/>
      <c r="D15" s="7"/>
      <c r="E15" s="12">
        <v>30000</v>
      </c>
      <c r="F15" s="10">
        <f t="shared" si="1"/>
        <v>28947</v>
      </c>
      <c r="G15" s="9"/>
    </row>
    <row r="16" spans="1:10" ht="23.25" x14ac:dyDescent="0.2">
      <c r="A16" s="9">
        <f t="shared" si="0"/>
        <v>13</v>
      </c>
      <c r="B16" s="6"/>
      <c r="C16" s="5"/>
      <c r="D16" s="7"/>
      <c r="E16" s="11"/>
      <c r="F16" s="12">
        <f t="shared" si="1"/>
        <v>28947</v>
      </c>
      <c r="G16" s="9"/>
    </row>
    <row r="17" spans="1:7" ht="23.25" x14ac:dyDescent="0.2">
      <c r="A17" s="9">
        <f t="shared" si="0"/>
        <v>14</v>
      </c>
      <c r="B17" s="6">
        <v>45331</v>
      </c>
      <c r="C17" s="5">
        <v>285</v>
      </c>
      <c r="D17" s="7">
        <v>83420</v>
      </c>
      <c r="E17" s="11"/>
      <c r="F17" s="11">
        <f t="shared" si="1"/>
        <v>112367</v>
      </c>
      <c r="G17" s="9"/>
    </row>
    <row r="18" spans="1:7" ht="23.25" x14ac:dyDescent="0.2">
      <c r="A18" s="9">
        <f t="shared" si="0"/>
        <v>15</v>
      </c>
      <c r="B18" s="6">
        <v>45333</v>
      </c>
      <c r="C18" s="5"/>
      <c r="D18" s="7"/>
      <c r="E18" s="11">
        <v>10000</v>
      </c>
      <c r="F18" s="11">
        <f t="shared" si="1"/>
        <v>102367</v>
      </c>
      <c r="G18" s="9"/>
    </row>
    <row r="19" spans="1:7" ht="23.25" x14ac:dyDescent="0.2">
      <c r="A19" s="9">
        <f t="shared" si="0"/>
        <v>16</v>
      </c>
      <c r="B19" s="6">
        <v>45336</v>
      </c>
      <c r="C19" s="5"/>
      <c r="D19" s="7"/>
      <c r="E19" s="11">
        <v>17000</v>
      </c>
      <c r="F19" s="11">
        <f t="shared" si="1"/>
        <v>85367</v>
      </c>
      <c r="G19" s="9"/>
    </row>
    <row r="20" spans="1:7" ht="23.25" x14ac:dyDescent="0.2">
      <c r="A20" s="9">
        <f t="shared" si="0"/>
        <v>17</v>
      </c>
      <c r="B20" s="6">
        <v>45338</v>
      </c>
      <c r="C20" s="5"/>
      <c r="D20" s="7"/>
      <c r="E20" s="11">
        <v>396</v>
      </c>
      <c r="F20" s="11">
        <f t="shared" si="1"/>
        <v>84971</v>
      </c>
      <c r="G20" s="9"/>
    </row>
    <row r="21" spans="1:7" ht="23.25" x14ac:dyDescent="0.2">
      <c r="A21" s="9">
        <f t="shared" si="0"/>
        <v>18</v>
      </c>
      <c r="B21" s="6">
        <v>45340</v>
      </c>
      <c r="C21" s="5"/>
      <c r="D21" s="7"/>
      <c r="E21" s="11">
        <v>20000</v>
      </c>
      <c r="F21" s="11">
        <f t="shared" si="1"/>
        <v>64971</v>
      </c>
      <c r="G21" s="9"/>
    </row>
    <row r="22" spans="1:7" ht="23.25" x14ac:dyDescent="0.2">
      <c r="A22" s="9">
        <f t="shared" si="0"/>
        <v>19</v>
      </c>
      <c r="B22" s="6">
        <v>45341</v>
      </c>
      <c r="C22" s="5"/>
      <c r="D22" s="7"/>
      <c r="E22" s="11">
        <v>17000</v>
      </c>
      <c r="F22" s="11">
        <f t="shared" si="1"/>
        <v>47971</v>
      </c>
      <c r="G22" s="9"/>
    </row>
    <row r="23" spans="1:7" ht="23.25" x14ac:dyDescent="0.2">
      <c r="A23" s="9">
        <f t="shared" si="0"/>
        <v>20</v>
      </c>
      <c r="B23" s="6">
        <v>45342</v>
      </c>
      <c r="C23" s="5"/>
      <c r="D23" s="7"/>
      <c r="E23" s="11">
        <v>8000</v>
      </c>
      <c r="F23" s="11">
        <f t="shared" si="1"/>
        <v>39971</v>
      </c>
      <c r="G23" s="9"/>
    </row>
    <row r="24" spans="1:7" ht="23.25" x14ac:dyDescent="0.2">
      <c r="A24" s="9">
        <f t="shared" si="0"/>
        <v>21</v>
      </c>
      <c r="B24" s="6">
        <v>45343</v>
      </c>
      <c r="C24" s="5"/>
      <c r="D24" s="7"/>
      <c r="E24" s="11">
        <v>8500</v>
      </c>
      <c r="F24" s="11">
        <f t="shared" si="1"/>
        <v>31471</v>
      </c>
      <c r="G24" s="9"/>
    </row>
    <row r="25" spans="1:7" ht="23.25" x14ac:dyDescent="0.2">
      <c r="A25" s="9">
        <f t="shared" si="0"/>
        <v>22</v>
      </c>
      <c r="B25" s="6">
        <v>45345</v>
      </c>
      <c r="C25" s="5">
        <v>318</v>
      </c>
      <c r="D25" s="7">
        <v>70300</v>
      </c>
      <c r="E25" s="11"/>
      <c r="F25" s="11">
        <f t="shared" si="1"/>
        <v>101771</v>
      </c>
      <c r="G25" s="9"/>
    </row>
    <row r="26" spans="1:7" ht="23.25" x14ac:dyDescent="0.2">
      <c r="A26" s="9">
        <f t="shared" si="0"/>
        <v>23</v>
      </c>
      <c r="B26" s="6">
        <v>45348</v>
      </c>
      <c r="C26" s="5"/>
      <c r="D26" s="7"/>
      <c r="E26" s="11">
        <v>42000</v>
      </c>
      <c r="F26" s="11">
        <f t="shared" si="1"/>
        <v>59771</v>
      </c>
      <c r="G26" s="9"/>
    </row>
    <row r="27" spans="1:7" ht="23.25" x14ac:dyDescent="0.2">
      <c r="A27" s="9">
        <f t="shared" si="0"/>
        <v>24</v>
      </c>
      <c r="B27" s="6">
        <v>45351</v>
      </c>
      <c r="C27" s="5"/>
      <c r="D27" s="7"/>
      <c r="E27" s="11">
        <v>10000</v>
      </c>
      <c r="F27" s="11">
        <f t="shared" si="1"/>
        <v>49771</v>
      </c>
      <c r="G27" s="9"/>
    </row>
    <row r="28" spans="1:7" ht="23.25" x14ac:dyDescent="0.2">
      <c r="A28" s="9">
        <f t="shared" si="0"/>
        <v>25</v>
      </c>
      <c r="B28" s="6">
        <v>45351</v>
      </c>
      <c r="C28" s="5"/>
      <c r="D28" s="7"/>
      <c r="E28" s="11">
        <v>16000</v>
      </c>
      <c r="F28" s="11">
        <f t="shared" si="1"/>
        <v>33771</v>
      </c>
      <c r="G28" s="9"/>
    </row>
    <row r="29" spans="1:7" ht="23.25" x14ac:dyDescent="0.2">
      <c r="A29" s="9">
        <f t="shared" si="0"/>
        <v>26</v>
      </c>
      <c r="B29" s="6">
        <v>45352</v>
      </c>
      <c r="C29" s="5">
        <v>353</v>
      </c>
      <c r="D29" s="7">
        <v>36020</v>
      </c>
      <c r="E29" s="11"/>
      <c r="F29" s="11">
        <f t="shared" si="1"/>
        <v>69791</v>
      </c>
      <c r="G29" s="9"/>
    </row>
    <row r="30" spans="1:7" ht="23.25" x14ac:dyDescent="0.2">
      <c r="A30" s="9">
        <f t="shared" si="0"/>
        <v>27</v>
      </c>
      <c r="B30" s="82">
        <v>45354</v>
      </c>
      <c r="C30" s="9"/>
      <c r="D30" s="11"/>
      <c r="E30" s="11">
        <v>19000</v>
      </c>
      <c r="F30" s="11">
        <f t="shared" si="1"/>
        <v>50791</v>
      </c>
      <c r="G30" s="9"/>
    </row>
    <row r="31" spans="1:7" ht="23.25" x14ac:dyDescent="0.2">
      <c r="A31" s="9">
        <f t="shared" si="0"/>
        <v>28</v>
      </c>
      <c r="B31" s="82">
        <v>45357</v>
      </c>
      <c r="C31" s="9"/>
      <c r="D31" s="11"/>
      <c r="E31" s="17">
        <v>15000</v>
      </c>
      <c r="F31" s="11">
        <f t="shared" si="1"/>
        <v>35791</v>
      </c>
      <c r="G31" s="13"/>
    </row>
    <row r="32" spans="1:7" ht="23.25" x14ac:dyDescent="0.2">
      <c r="A32" s="9">
        <f t="shared" si="0"/>
        <v>29</v>
      </c>
      <c r="B32" s="82">
        <v>45361</v>
      </c>
      <c r="C32" s="9"/>
      <c r="D32" s="11"/>
      <c r="E32" s="17">
        <v>13000</v>
      </c>
      <c r="F32" s="11">
        <f t="shared" si="1"/>
        <v>22791</v>
      </c>
      <c r="G32" s="13"/>
    </row>
    <row r="33" spans="1:8" ht="23.25" x14ac:dyDescent="0.2">
      <c r="A33" s="9">
        <f t="shared" si="0"/>
        <v>30</v>
      </c>
      <c r="B33" s="82"/>
      <c r="C33" s="9"/>
      <c r="D33" s="11"/>
      <c r="E33" s="17"/>
      <c r="F33" s="11">
        <f t="shared" si="1"/>
        <v>22791</v>
      </c>
      <c r="G33" s="13"/>
    </row>
    <row r="34" spans="1:8" ht="23.25" x14ac:dyDescent="0.2">
      <c r="A34" s="9">
        <f t="shared" si="0"/>
        <v>31</v>
      </c>
      <c r="B34" s="82"/>
      <c r="C34" s="9"/>
      <c r="D34" s="11"/>
      <c r="E34" s="17"/>
      <c r="F34" s="11">
        <f t="shared" si="1"/>
        <v>22791</v>
      </c>
      <c r="G34" s="13"/>
    </row>
    <row r="35" spans="1:8" ht="24" thickBot="1" x14ac:dyDescent="0.25">
      <c r="A35" s="9">
        <f t="shared" si="0"/>
        <v>32</v>
      </c>
      <c r="B35" s="14"/>
      <c r="C35" s="15"/>
      <c r="D35" s="16"/>
      <c r="E35" s="17"/>
      <c r="F35" s="11">
        <f t="shared" si="1"/>
        <v>22791</v>
      </c>
      <c r="G35" s="13"/>
    </row>
    <row r="36" spans="1:8" ht="24" thickBot="1" x14ac:dyDescent="0.25">
      <c r="A36" s="108" t="s">
        <v>8</v>
      </c>
      <c r="B36" s="109"/>
      <c r="C36" s="109"/>
      <c r="D36" s="18">
        <f>SUM(D4:D35)</f>
        <v>333687</v>
      </c>
      <c r="E36" s="19">
        <f>SUM(E4:E35)</f>
        <v>310896</v>
      </c>
      <c r="F36" s="19">
        <f>F35</f>
        <v>22791</v>
      </c>
      <c r="G36" s="20"/>
      <c r="H36" s="21">
        <f>D36-E36</f>
        <v>22791</v>
      </c>
    </row>
  </sheetData>
  <mergeCells count="1">
    <mergeCell ref="A36:C36"/>
  </mergeCells>
  <pageMargins left="0.25" right="0.25" top="0.75" bottom="0.75" header="0.3" footer="0.3"/>
  <pageSetup scale="8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7"/>
  <sheetViews>
    <sheetView rightToLeft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3" sqref="I3:J3"/>
    </sheetView>
  </sheetViews>
  <sheetFormatPr defaultRowHeight="14.25" x14ac:dyDescent="0.2"/>
  <cols>
    <col min="1" max="1" width="9.75" bestFit="1" customWidth="1"/>
    <col min="2" max="2" width="16.875" bestFit="1" customWidth="1"/>
    <col min="3" max="3" width="17" bestFit="1" customWidth="1"/>
    <col min="4" max="4" width="18.625" bestFit="1" customWidth="1"/>
    <col min="5" max="5" width="15.875" bestFit="1" customWidth="1"/>
    <col min="6" max="6" width="12.5" bestFit="1" customWidth="1"/>
    <col min="7" max="7" width="14.25" bestFit="1" customWidth="1"/>
    <col min="8" max="8" width="17.625" customWidth="1"/>
    <col min="9" max="9" width="6.25" bestFit="1" customWidth="1"/>
    <col min="10" max="10" width="12" bestFit="1" customWidth="1"/>
  </cols>
  <sheetData>
    <row r="1" spans="1:10" ht="23.25" x14ac:dyDescent="0.35">
      <c r="A1" s="1"/>
      <c r="B1" s="1"/>
      <c r="C1" s="1" t="s">
        <v>20</v>
      </c>
      <c r="D1" s="83" t="s">
        <v>27</v>
      </c>
      <c r="E1" s="1"/>
      <c r="F1" s="1"/>
      <c r="G1" s="1"/>
    </row>
    <row r="2" spans="1:10" ht="23.25" x14ac:dyDescent="0.35">
      <c r="A2" s="1"/>
      <c r="B2" s="1"/>
      <c r="C2" s="1"/>
      <c r="D2" s="1"/>
      <c r="E2" s="1"/>
      <c r="F2" s="1"/>
      <c r="G2" s="1"/>
    </row>
    <row r="3" spans="1:10" ht="38.25" customHeight="1" thickBot="1" x14ac:dyDescent="0.25">
      <c r="A3" s="49" t="s">
        <v>1</v>
      </c>
      <c r="B3" s="50" t="s">
        <v>2</v>
      </c>
      <c r="C3" s="50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I3" s="84" t="s">
        <v>142</v>
      </c>
      <c r="J3" s="84"/>
    </row>
    <row r="4" spans="1:10" ht="23.25" x14ac:dyDescent="0.2">
      <c r="A4" s="5">
        <v>1</v>
      </c>
      <c r="B4" s="6">
        <v>45326</v>
      </c>
      <c r="C4" s="5">
        <v>255</v>
      </c>
      <c r="D4" s="7">
        <v>130500</v>
      </c>
      <c r="E4" s="7"/>
      <c r="F4" s="8">
        <f>D4-E4</f>
        <v>130500</v>
      </c>
      <c r="G4" s="5"/>
    </row>
    <row r="5" spans="1:10" ht="23.25" x14ac:dyDescent="0.2">
      <c r="A5" s="9">
        <f>A4+1</f>
        <v>2</v>
      </c>
      <c r="B5" s="6"/>
      <c r="C5" s="5"/>
      <c r="D5" s="7"/>
      <c r="E5" s="11">
        <v>25500</v>
      </c>
      <c r="F5" s="10">
        <f>F4+D5-E5</f>
        <v>105000</v>
      </c>
      <c r="G5" s="9"/>
    </row>
    <row r="6" spans="1:10" ht="23.25" x14ac:dyDescent="0.2">
      <c r="A6" s="9">
        <f t="shared" ref="A6:A16" si="0">A5+1</f>
        <v>3</v>
      </c>
      <c r="B6" s="6">
        <v>45326</v>
      </c>
      <c r="C6" s="5">
        <v>274</v>
      </c>
      <c r="D6" s="7">
        <v>232500</v>
      </c>
      <c r="E6" s="7"/>
      <c r="F6" s="10">
        <f>F5+D6-E6</f>
        <v>337500</v>
      </c>
      <c r="G6" s="9"/>
    </row>
    <row r="7" spans="1:10" ht="23.25" x14ac:dyDescent="0.2">
      <c r="A7" s="9">
        <f t="shared" si="0"/>
        <v>4</v>
      </c>
      <c r="B7" s="6"/>
      <c r="C7" s="5"/>
      <c r="D7" s="7"/>
      <c r="E7" s="11">
        <v>105000</v>
      </c>
      <c r="F7" s="10">
        <f t="shared" ref="F7:F16" si="1">F6+D7-E7</f>
        <v>232500</v>
      </c>
      <c r="G7" s="11"/>
    </row>
    <row r="8" spans="1:10" ht="23.25" x14ac:dyDescent="0.2">
      <c r="A8" s="9">
        <f t="shared" si="0"/>
        <v>5</v>
      </c>
      <c r="B8" s="6"/>
      <c r="C8" s="5"/>
      <c r="D8" s="7"/>
      <c r="E8" s="11"/>
      <c r="F8" s="11">
        <f t="shared" si="1"/>
        <v>232500</v>
      </c>
      <c r="G8" s="9"/>
    </row>
    <row r="9" spans="1:10" ht="23.25" x14ac:dyDescent="0.2">
      <c r="A9" s="9">
        <f t="shared" si="0"/>
        <v>6</v>
      </c>
      <c r="B9" s="6">
        <v>45339</v>
      </c>
      <c r="C9" s="5">
        <v>297</v>
      </c>
      <c r="D9" s="7">
        <v>21752</v>
      </c>
      <c r="E9" s="11"/>
      <c r="F9" s="10">
        <f t="shared" si="1"/>
        <v>254252</v>
      </c>
      <c r="G9" s="9"/>
    </row>
    <row r="10" spans="1:10" ht="23.25" x14ac:dyDescent="0.2">
      <c r="A10" s="9">
        <f t="shared" si="0"/>
        <v>7</v>
      </c>
      <c r="B10" s="47"/>
      <c r="C10" s="46"/>
      <c r="D10" s="48"/>
      <c r="E10" s="11">
        <v>10000</v>
      </c>
      <c r="F10" s="10">
        <f t="shared" si="1"/>
        <v>244252</v>
      </c>
      <c r="G10" s="9"/>
    </row>
    <row r="11" spans="1:10" ht="23.25" x14ac:dyDescent="0.2">
      <c r="A11" s="9">
        <f t="shared" si="0"/>
        <v>8</v>
      </c>
      <c r="B11" s="47">
        <v>45346</v>
      </c>
      <c r="C11" s="46">
        <v>329</v>
      </c>
      <c r="D11" s="48">
        <v>7525</v>
      </c>
      <c r="E11" s="11"/>
      <c r="F11" s="11">
        <f t="shared" si="1"/>
        <v>251777</v>
      </c>
      <c r="G11" s="9"/>
    </row>
    <row r="12" spans="1:10" ht="23.25" x14ac:dyDescent="0.2">
      <c r="A12" s="9">
        <f t="shared" si="0"/>
        <v>9</v>
      </c>
      <c r="B12" s="47"/>
      <c r="C12" s="46"/>
      <c r="D12" s="48"/>
      <c r="E12" s="11"/>
      <c r="F12" s="10">
        <f t="shared" si="1"/>
        <v>251777</v>
      </c>
      <c r="G12" s="9"/>
    </row>
    <row r="13" spans="1:10" ht="23.25" x14ac:dyDescent="0.2">
      <c r="A13" s="9">
        <f t="shared" si="0"/>
        <v>10</v>
      </c>
      <c r="B13" s="47">
        <v>45352</v>
      </c>
      <c r="C13" s="46">
        <v>352</v>
      </c>
      <c r="D13" s="48">
        <v>15400</v>
      </c>
      <c r="E13" s="11"/>
      <c r="F13" s="10">
        <f t="shared" si="1"/>
        <v>267177</v>
      </c>
      <c r="G13" s="9"/>
    </row>
    <row r="14" spans="1:10" ht="23.25" x14ac:dyDescent="0.2">
      <c r="A14" s="9">
        <f t="shared" si="0"/>
        <v>11</v>
      </c>
      <c r="B14" s="14">
        <v>45357</v>
      </c>
      <c r="C14" s="15"/>
      <c r="D14" s="16"/>
      <c r="E14" s="17">
        <v>100000</v>
      </c>
      <c r="F14" s="10">
        <f t="shared" si="1"/>
        <v>167177</v>
      </c>
      <c r="G14" s="13"/>
    </row>
    <row r="15" spans="1:10" ht="23.25" x14ac:dyDescent="0.2">
      <c r="A15" s="9">
        <f t="shared" si="0"/>
        <v>12</v>
      </c>
      <c r="B15" s="14"/>
      <c r="C15" s="15"/>
      <c r="D15" s="16"/>
      <c r="E15" s="17"/>
      <c r="F15" s="10">
        <f t="shared" si="1"/>
        <v>167177</v>
      </c>
      <c r="G15" s="13"/>
    </row>
    <row r="16" spans="1:10" ht="24" thickBot="1" x14ac:dyDescent="0.25">
      <c r="A16" s="9">
        <f t="shared" si="0"/>
        <v>13</v>
      </c>
      <c r="B16" s="14"/>
      <c r="C16" s="15"/>
      <c r="D16" s="16"/>
      <c r="E16" s="17"/>
      <c r="F16" s="10">
        <f t="shared" si="1"/>
        <v>167177</v>
      </c>
      <c r="G16" s="13"/>
    </row>
    <row r="17" spans="1:8" ht="23.25" x14ac:dyDescent="0.2">
      <c r="A17" s="41" t="s">
        <v>8</v>
      </c>
      <c r="B17" s="42"/>
      <c r="C17" s="42"/>
      <c r="D17" s="43">
        <f>SUM(D4:D16)</f>
        <v>407677</v>
      </c>
      <c r="E17" s="44">
        <f>SUM(E4:E16)</f>
        <v>240500</v>
      </c>
      <c r="F17" s="44">
        <f>F16</f>
        <v>167177</v>
      </c>
      <c r="G17" s="45"/>
      <c r="H17">
        <f>Table14[[#This Row],[توريد بضاعة]]-Table14[[#This Row],[المبلغ المستلم]]</f>
        <v>167177</v>
      </c>
    </row>
  </sheetData>
  <pageMargins left="0.25" right="0.25" top="0.75" bottom="0.75" header="0.3" footer="0.3"/>
  <pageSetup scale="76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O123"/>
  <sheetViews>
    <sheetView rightToLeft="1" workbookViewId="0">
      <selection sqref="A1:XFD1048576"/>
    </sheetView>
  </sheetViews>
  <sheetFormatPr defaultRowHeight="14.25" x14ac:dyDescent="0.2"/>
  <cols>
    <col min="1" max="1" width="3.875" bestFit="1" customWidth="1"/>
    <col min="2" max="2" width="10.375" customWidth="1"/>
    <col min="3" max="3" width="8.25" bestFit="1" customWidth="1"/>
    <col min="5" max="5" width="11.125" bestFit="1" customWidth="1"/>
  </cols>
  <sheetData>
    <row r="2" spans="1:15" ht="15" thickBot="1" x14ac:dyDescent="0.25">
      <c r="D2" s="21">
        <f>SUM(D4:D123)</f>
        <v>227367</v>
      </c>
      <c r="E2" s="21">
        <f>SUM(E4:E123)</f>
        <v>125000</v>
      </c>
      <c r="F2" s="21">
        <f>E2-D2</f>
        <v>-102367</v>
      </c>
    </row>
    <row r="3" spans="1:15" ht="15.75" thickBot="1" x14ac:dyDescent="0.3">
      <c r="A3" s="22" t="s">
        <v>1</v>
      </c>
      <c r="B3" s="23" t="s">
        <v>2</v>
      </c>
      <c r="C3" s="23" t="s">
        <v>3</v>
      </c>
      <c r="D3" s="24" t="s">
        <v>4</v>
      </c>
      <c r="E3" s="24" t="s">
        <v>5</v>
      </c>
      <c r="F3" s="24" t="s">
        <v>6</v>
      </c>
      <c r="G3" s="24"/>
      <c r="H3" s="25"/>
      <c r="N3" s="110">
        <f>N4+O4</f>
        <v>2227432</v>
      </c>
      <c r="O3" s="111"/>
    </row>
    <row r="4" spans="1:15" x14ac:dyDescent="0.2">
      <c r="A4" s="26">
        <v>1</v>
      </c>
      <c r="B4" s="27">
        <v>45295</v>
      </c>
      <c r="C4" s="26">
        <v>231</v>
      </c>
      <c r="D4" s="28">
        <v>40375</v>
      </c>
      <c r="E4" s="28"/>
      <c r="F4" s="29">
        <f>D4-E4</f>
        <v>40375</v>
      </c>
      <c r="G4" s="26"/>
      <c r="H4" s="26"/>
      <c r="N4" s="30">
        <f>SUM(N6:N52)</f>
        <v>1080732</v>
      </c>
      <c r="O4" s="30">
        <f>SUM(O6:O52)</f>
        <v>1146700</v>
      </c>
    </row>
    <row r="5" spans="1:15" x14ac:dyDescent="0.2">
      <c r="A5" s="31">
        <f>A4+1</f>
        <v>2</v>
      </c>
      <c r="B5" s="27">
        <v>45299</v>
      </c>
      <c r="C5" s="26"/>
      <c r="D5" s="28"/>
      <c r="E5" s="28">
        <v>23000</v>
      </c>
      <c r="F5" s="32">
        <f>F4+D5-E5</f>
        <v>17375</v>
      </c>
      <c r="G5" s="31"/>
      <c r="H5" s="31"/>
      <c r="J5" t="s">
        <v>9</v>
      </c>
      <c r="K5" t="s">
        <v>10</v>
      </c>
      <c r="N5" s="31"/>
      <c r="O5" s="31"/>
    </row>
    <row r="6" spans="1:15" x14ac:dyDescent="0.2">
      <c r="A6" s="31">
        <f t="shared" ref="A6:A69" si="0">A5+1</f>
        <v>3</v>
      </c>
      <c r="B6" s="27">
        <v>45302</v>
      </c>
      <c r="C6" s="26"/>
      <c r="D6" s="28"/>
      <c r="E6" s="30">
        <v>10000</v>
      </c>
      <c r="F6" s="32">
        <f t="shared" ref="F6:F69" si="1">F5+D6-E6</f>
        <v>7375</v>
      </c>
      <c r="G6" s="31"/>
      <c r="H6" s="31"/>
      <c r="J6" s="21">
        <v>1402172</v>
      </c>
      <c r="K6" s="21">
        <v>2227423</v>
      </c>
      <c r="L6" s="21">
        <f>K6-J6</f>
        <v>825251</v>
      </c>
      <c r="N6" s="30">
        <v>50000</v>
      </c>
      <c r="O6" s="30">
        <v>50000</v>
      </c>
    </row>
    <row r="7" spans="1:15" x14ac:dyDescent="0.2">
      <c r="A7" s="31">
        <f t="shared" si="0"/>
        <v>4</v>
      </c>
      <c r="B7" s="27">
        <v>45305</v>
      </c>
      <c r="C7" s="26"/>
      <c r="D7" s="28"/>
      <c r="E7" s="30">
        <v>5000</v>
      </c>
      <c r="F7" s="32">
        <f t="shared" si="1"/>
        <v>2375</v>
      </c>
      <c r="G7" s="31"/>
      <c r="H7" s="31"/>
      <c r="N7" s="30">
        <v>70000</v>
      </c>
      <c r="O7" s="30">
        <v>55000</v>
      </c>
    </row>
    <row r="8" spans="1:15" x14ac:dyDescent="0.2">
      <c r="A8" s="31">
        <f t="shared" si="0"/>
        <v>5</v>
      </c>
      <c r="B8" s="27"/>
      <c r="C8" s="26"/>
      <c r="D8" s="28"/>
      <c r="E8" s="30"/>
      <c r="F8" s="33">
        <f t="shared" si="1"/>
        <v>2375</v>
      </c>
      <c r="G8" s="31"/>
      <c r="H8" s="31"/>
      <c r="N8" s="30">
        <v>25000</v>
      </c>
      <c r="O8" s="34">
        <v>3000</v>
      </c>
    </row>
    <row r="9" spans="1:15" x14ac:dyDescent="0.2">
      <c r="A9" s="31">
        <f t="shared" si="0"/>
        <v>6</v>
      </c>
      <c r="B9" s="27">
        <v>45313</v>
      </c>
      <c r="C9" s="26">
        <v>251</v>
      </c>
      <c r="D9" s="28">
        <v>40000</v>
      </c>
      <c r="E9" s="30"/>
      <c r="F9" s="32">
        <f t="shared" si="1"/>
        <v>42375</v>
      </c>
      <c r="G9" s="31"/>
      <c r="H9" s="31"/>
      <c r="N9" s="30">
        <v>50000</v>
      </c>
      <c r="O9" s="30">
        <v>50000</v>
      </c>
    </row>
    <row r="10" spans="1:15" x14ac:dyDescent="0.2">
      <c r="A10" s="31">
        <f t="shared" si="0"/>
        <v>7</v>
      </c>
      <c r="B10" s="27">
        <v>45315</v>
      </c>
      <c r="C10" s="26"/>
      <c r="D10" s="28"/>
      <c r="E10" s="34">
        <v>10000</v>
      </c>
      <c r="F10" s="32">
        <f t="shared" si="1"/>
        <v>32375</v>
      </c>
      <c r="G10" s="31"/>
      <c r="H10" s="31"/>
      <c r="N10" s="30">
        <v>50000</v>
      </c>
      <c r="O10" s="30">
        <v>45000</v>
      </c>
    </row>
    <row r="11" spans="1:15" x14ac:dyDescent="0.2">
      <c r="A11" s="31">
        <f t="shared" si="0"/>
        <v>8</v>
      </c>
      <c r="B11" s="27">
        <v>45321</v>
      </c>
      <c r="C11" s="26"/>
      <c r="D11" s="28"/>
      <c r="E11" s="30">
        <v>14000</v>
      </c>
      <c r="F11" s="32">
        <f t="shared" si="1"/>
        <v>18375</v>
      </c>
      <c r="G11" s="31"/>
      <c r="H11" s="31"/>
      <c r="N11" s="30">
        <v>10000</v>
      </c>
      <c r="O11" s="30">
        <v>40000</v>
      </c>
    </row>
    <row r="12" spans="1:15" x14ac:dyDescent="0.2">
      <c r="A12" s="31">
        <f t="shared" si="0"/>
        <v>9</v>
      </c>
      <c r="B12" s="27"/>
      <c r="C12" s="26"/>
      <c r="D12" s="28"/>
      <c r="E12" s="30"/>
      <c r="F12" s="33">
        <f t="shared" si="1"/>
        <v>18375</v>
      </c>
      <c r="G12" s="31"/>
      <c r="H12" s="31"/>
      <c r="N12" s="34">
        <v>6000</v>
      </c>
      <c r="O12" s="30">
        <v>30000</v>
      </c>
    </row>
    <row r="13" spans="1:15" x14ac:dyDescent="0.2">
      <c r="A13" s="31">
        <f t="shared" si="0"/>
        <v>10</v>
      </c>
      <c r="B13" s="27">
        <v>45326</v>
      </c>
      <c r="C13" s="26">
        <v>271</v>
      </c>
      <c r="D13" s="28">
        <v>63572</v>
      </c>
      <c r="E13" s="30"/>
      <c r="F13" s="32">
        <f t="shared" si="1"/>
        <v>81947</v>
      </c>
      <c r="G13" s="31"/>
      <c r="H13" s="31"/>
      <c r="N13" s="30"/>
      <c r="O13" s="30">
        <v>40000</v>
      </c>
    </row>
    <row r="14" spans="1:15" x14ac:dyDescent="0.2">
      <c r="A14" s="31">
        <f t="shared" si="0"/>
        <v>11</v>
      </c>
      <c r="B14" s="27">
        <v>45327</v>
      </c>
      <c r="C14" s="26"/>
      <c r="D14" s="28"/>
      <c r="E14" s="30">
        <v>23000</v>
      </c>
      <c r="F14" s="32">
        <f t="shared" si="1"/>
        <v>58947</v>
      </c>
      <c r="G14" s="31"/>
      <c r="H14" s="31"/>
      <c r="N14" s="30">
        <v>5000</v>
      </c>
      <c r="O14" s="30"/>
    </row>
    <row r="15" spans="1:15" x14ac:dyDescent="0.2">
      <c r="A15" s="31">
        <f t="shared" si="0"/>
        <v>12</v>
      </c>
      <c r="B15" s="27">
        <v>45330</v>
      </c>
      <c r="C15" s="26"/>
      <c r="D15" s="28"/>
      <c r="E15" s="34">
        <v>30000</v>
      </c>
      <c r="F15" s="32">
        <f t="shared" si="1"/>
        <v>28947</v>
      </c>
      <c r="G15" s="31"/>
      <c r="H15" s="31"/>
      <c r="N15" s="30">
        <v>2000</v>
      </c>
      <c r="O15" s="30">
        <v>50000</v>
      </c>
    </row>
    <row r="16" spans="1:15" x14ac:dyDescent="0.2">
      <c r="A16" s="31">
        <f t="shared" si="0"/>
        <v>13</v>
      </c>
      <c r="B16" s="27"/>
      <c r="C16" s="26"/>
      <c r="D16" s="28"/>
      <c r="E16" s="30"/>
      <c r="F16" s="33">
        <f t="shared" si="1"/>
        <v>28947</v>
      </c>
      <c r="G16" s="31"/>
      <c r="H16" s="31"/>
      <c r="N16" s="30">
        <v>15000</v>
      </c>
      <c r="O16" s="30">
        <v>50000</v>
      </c>
    </row>
    <row r="17" spans="1:15" x14ac:dyDescent="0.2">
      <c r="A17" s="31">
        <f t="shared" si="0"/>
        <v>14</v>
      </c>
      <c r="B17" s="27">
        <v>45331</v>
      </c>
      <c r="C17" s="26">
        <v>285</v>
      </c>
      <c r="D17" s="28">
        <v>83420</v>
      </c>
      <c r="E17" s="30"/>
      <c r="F17" s="32">
        <f t="shared" si="1"/>
        <v>112367</v>
      </c>
      <c r="G17" s="31"/>
      <c r="H17" s="31"/>
      <c r="N17" s="34">
        <v>23100</v>
      </c>
      <c r="O17" s="30">
        <v>35000</v>
      </c>
    </row>
    <row r="18" spans="1:15" x14ac:dyDescent="0.2">
      <c r="A18" s="31">
        <f t="shared" si="0"/>
        <v>15</v>
      </c>
      <c r="B18" s="27"/>
      <c r="C18" s="26"/>
      <c r="D18" s="28"/>
      <c r="E18" s="30">
        <v>10000</v>
      </c>
      <c r="F18" s="32">
        <f t="shared" si="1"/>
        <v>102367</v>
      </c>
      <c r="G18" s="31"/>
      <c r="H18" s="31"/>
      <c r="N18" s="30">
        <v>1000</v>
      </c>
      <c r="O18" s="34">
        <v>5000</v>
      </c>
    </row>
    <row r="19" spans="1:15" x14ac:dyDescent="0.2">
      <c r="A19" s="31">
        <f t="shared" si="0"/>
        <v>16</v>
      </c>
      <c r="B19" s="27"/>
      <c r="C19" s="26"/>
      <c r="D19" s="28"/>
      <c r="E19" s="30"/>
      <c r="F19" s="33">
        <f t="shared" si="1"/>
        <v>102367</v>
      </c>
      <c r="G19" s="31"/>
      <c r="H19" s="31"/>
      <c r="N19" s="30">
        <v>10000</v>
      </c>
      <c r="O19" s="34">
        <v>5000</v>
      </c>
    </row>
    <row r="20" spans="1:15" x14ac:dyDescent="0.2">
      <c r="A20" s="31">
        <f t="shared" si="0"/>
        <v>17</v>
      </c>
      <c r="B20" s="27"/>
      <c r="C20" s="26"/>
      <c r="D20" s="28"/>
      <c r="E20" s="30"/>
      <c r="F20" s="30">
        <f t="shared" si="1"/>
        <v>102367</v>
      </c>
      <c r="G20" s="31"/>
      <c r="H20" s="31"/>
      <c r="N20" s="30">
        <v>25400</v>
      </c>
      <c r="O20" s="30">
        <v>40000</v>
      </c>
    </row>
    <row r="21" spans="1:15" x14ac:dyDescent="0.2">
      <c r="A21" s="31">
        <f t="shared" si="0"/>
        <v>18</v>
      </c>
      <c r="B21" s="27"/>
      <c r="C21" s="26"/>
      <c r="D21" s="28"/>
      <c r="E21" s="30"/>
      <c r="F21" s="30">
        <f t="shared" si="1"/>
        <v>102367</v>
      </c>
      <c r="G21" s="31"/>
      <c r="H21" s="31"/>
      <c r="N21" s="30">
        <v>9000</v>
      </c>
      <c r="O21" s="30">
        <v>40000</v>
      </c>
    </row>
    <row r="22" spans="1:15" x14ac:dyDescent="0.2">
      <c r="A22" s="31">
        <f t="shared" si="0"/>
        <v>19</v>
      </c>
      <c r="B22" s="27"/>
      <c r="C22" s="26"/>
      <c r="D22" s="28"/>
      <c r="E22" s="30"/>
      <c r="F22" s="30">
        <f t="shared" si="1"/>
        <v>102367</v>
      </c>
      <c r="G22" s="31"/>
      <c r="H22" s="31"/>
      <c r="N22" s="33">
        <v>10000</v>
      </c>
      <c r="O22" s="30">
        <v>58950</v>
      </c>
    </row>
    <row r="23" spans="1:15" x14ac:dyDescent="0.2">
      <c r="A23" s="31">
        <f t="shared" si="0"/>
        <v>20</v>
      </c>
      <c r="B23" s="27"/>
      <c r="C23" s="26"/>
      <c r="D23" s="28"/>
      <c r="E23" s="30"/>
      <c r="F23" s="30">
        <f t="shared" si="1"/>
        <v>102367</v>
      </c>
      <c r="G23" s="31"/>
      <c r="H23" s="31"/>
      <c r="N23" s="30">
        <v>14000</v>
      </c>
      <c r="O23" s="30">
        <v>750</v>
      </c>
    </row>
    <row r="24" spans="1:15" x14ac:dyDescent="0.2">
      <c r="A24" s="31">
        <f t="shared" si="0"/>
        <v>21</v>
      </c>
      <c r="B24" s="27"/>
      <c r="C24" s="26"/>
      <c r="D24" s="28"/>
      <c r="E24" s="30"/>
      <c r="F24" s="30">
        <f t="shared" si="1"/>
        <v>102367</v>
      </c>
      <c r="G24" s="31"/>
      <c r="H24" s="31"/>
      <c r="N24" s="30">
        <v>10000</v>
      </c>
      <c r="O24" s="30">
        <v>50000</v>
      </c>
    </row>
    <row r="25" spans="1:15" x14ac:dyDescent="0.2">
      <c r="A25" s="31">
        <f t="shared" si="0"/>
        <v>22</v>
      </c>
      <c r="B25" s="27"/>
      <c r="C25" s="26"/>
      <c r="D25" s="28"/>
      <c r="E25" s="30"/>
      <c r="F25" s="30">
        <f t="shared" si="1"/>
        <v>102367</v>
      </c>
      <c r="G25" s="31"/>
      <c r="H25" s="31"/>
      <c r="N25" s="30">
        <v>1400</v>
      </c>
      <c r="O25" s="30">
        <v>10000</v>
      </c>
    </row>
    <row r="26" spans="1:15" x14ac:dyDescent="0.2">
      <c r="A26" s="31">
        <f t="shared" si="0"/>
        <v>23</v>
      </c>
      <c r="B26" s="27"/>
      <c r="C26" s="26"/>
      <c r="D26" s="28"/>
      <c r="E26" s="30"/>
      <c r="F26" s="30">
        <f t="shared" si="1"/>
        <v>102367</v>
      </c>
      <c r="G26" s="31"/>
      <c r="H26" s="31"/>
      <c r="N26" s="30"/>
      <c r="O26" s="30">
        <v>1000</v>
      </c>
    </row>
    <row r="27" spans="1:15" x14ac:dyDescent="0.2">
      <c r="A27" s="31">
        <f t="shared" si="0"/>
        <v>24</v>
      </c>
      <c r="B27" s="27"/>
      <c r="C27" s="26"/>
      <c r="D27" s="28"/>
      <c r="E27" s="30"/>
      <c r="F27" s="30">
        <f t="shared" si="1"/>
        <v>102367</v>
      </c>
      <c r="G27" s="31"/>
      <c r="H27" s="31"/>
      <c r="N27" s="30">
        <v>30000</v>
      </c>
      <c r="O27" s="30"/>
    </row>
    <row r="28" spans="1:15" x14ac:dyDescent="0.2">
      <c r="A28" s="31">
        <f t="shared" si="0"/>
        <v>25</v>
      </c>
      <c r="B28" s="27"/>
      <c r="C28" s="26"/>
      <c r="D28" s="28"/>
      <c r="E28" s="30"/>
      <c r="F28" s="30">
        <f t="shared" si="1"/>
        <v>102367</v>
      </c>
      <c r="G28" s="31"/>
      <c r="H28" s="31"/>
      <c r="N28" s="30">
        <v>40000</v>
      </c>
      <c r="O28" s="30">
        <v>35000</v>
      </c>
    </row>
    <row r="29" spans="1:15" x14ac:dyDescent="0.2">
      <c r="A29" s="31">
        <f t="shared" si="0"/>
        <v>26</v>
      </c>
      <c r="B29" s="27"/>
      <c r="C29" s="26"/>
      <c r="D29" s="28"/>
      <c r="E29" s="30"/>
      <c r="F29" s="30">
        <f t="shared" si="1"/>
        <v>102367</v>
      </c>
      <c r="G29" s="31"/>
      <c r="H29" s="31"/>
      <c r="N29" s="30">
        <v>20000</v>
      </c>
      <c r="O29" s="30">
        <v>60000</v>
      </c>
    </row>
    <row r="30" spans="1:15" x14ac:dyDescent="0.2">
      <c r="A30" s="31">
        <f t="shared" si="0"/>
        <v>27</v>
      </c>
      <c r="B30" s="27"/>
      <c r="C30" s="26"/>
      <c r="D30" s="28"/>
      <c r="E30" s="30"/>
      <c r="F30" s="30">
        <f t="shared" si="1"/>
        <v>102367</v>
      </c>
      <c r="G30" s="31"/>
      <c r="H30" s="31"/>
      <c r="N30" s="30">
        <v>40000</v>
      </c>
      <c r="O30" s="30">
        <v>10000</v>
      </c>
    </row>
    <row r="31" spans="1:15" x14ac:dyDescent="0.2">
      <c r="A31" s="31">
        <f t="shared" si="0"/>
        <v>28</v>
      </c>
      <c r="B31" s="27"/>
      <c r="C31" s="26"/>
      <c r="D31" s="28"/>
      <c r="E31" s="30"/>
      <c r="F31" s="30">
        <f t="shared" si="1"/>
        <v>102367</v>
      </c>
      <c r="G31" s="31"/>
      <c r="H31" s="31"/>
      <c r="N31" s="30">
        <v>50000</v>
      </c>
      <c r="O31" s="30">
        <v>40000</v>
      </c>
    </row>
    <row r="32" spans="1:15" x14ac:dyDescent="0.2">
      <c r="A32" s="31">
        <f t="shared" si="0"/>
        <v>29</v>
      </c>
      <c r="B32" s="27"/>
      <c r="C32" s="26"/>
      <c r="D32" s="28"/>
      <c r="E32" s="30"/>
      <c r="F32" s="30">
        <f t="shared" si="1"/>
        <v>102367</v>
      </c>
      <c r="G32" s="31"/>
      <c r="H32" s="31"/>
      <c r="N32" s="30">
        <v>10000</v>
      </c>
      <c r="O32" s="30">
        <v>2000</v>
      </c>
    </row>
    <row r="33" spans="1:15" x14ac:dyDescent="0.2">
      <c r="A33" s="31">
        <f t="shared" si="0"/>
        <v>30</v>
      </c>
      <c r="B33" s="27"/>
      <c r="C33" s="26"/>
      <c r="D33" s="28"/>
      <c r="E33" s="34"/>
      <c r="F33" s="30">
        <f t="shared" si="1"/>
        <v>102367</v>
      </c>
      <c r="G33" s="31"/>
      <c r="H33" s="31"/>
      <c r="N33" s="30">
        <v>30000</v>
      </c>
      <c r="O33" s="30">
        <v>52000</v>
      </c>
    </row>
    <row r="34" spans="1:15" x14ac:dyDescent="0.2">
      <c r="A34" s="31">
        <f t="shared" si="0"/>
        <v>31</v>
      </c>
      <c r="B34" s="27"/>
      <c r="C34" s="26"/>
      <c r="D34" s="28"/>
      <c r="E34" s="30"/>
      <c r="F34" s="30">
        <f t="shared" si="1"/>
        <v>102367</v>
      </c>
      <c r="G34" s="31"/>
      <c r="H34" s="31"/>
      <c r="N34" s="30">
        <v>29000</v>
      </c>
      <c r="O34" s="30">
        <v>15000</v>
      </c>
    </row>
    <row r="35" spans="1:15" x14ac:dyDescent="0.2">
      <c r="A35" s="31">
        <f t="shared" si="0"/>
        <v>32</v>
      </c>
      <c r="B35" s="27"/>
      <c r="C35" s="26"/>
      <c r="D35" s="28"/>
      <c r="E35" s="30"/>
      <c r="F35" s="30">
        <f t="shared" si="1"/>
        <v>102367</v>
      </c>
      <c r="G35" s="31"/>
      <c r="H35" s="31"/>
      <c r="N35" s="34">
        <v>35200</v>
      </c>
      <c r="O35" s="30">
        <v>30000</v>
      </c>
    </row>
    <row r="36" spans="1:15" x14ac:dyDescent="0.2">
      <c r="A36" s="31">
        <f t="shared" si="0"/>
        <v>33</v>
      </c>
      <c r="B36" s="27"/>
      <c r="C36" s="26"/>
      <c r="D36" s="28"/>
      <c r="E36" s="30"/>
      <c r="F36" s="30">
        <f t="shared" si="1"/>
        <v>102367</v>
      </c>
      <c r="G36" s="31"/>
      <c r="H36" s="31"/>
      <c r="N36" s="30">
        <v>15000</v>
      </c>
      <c r="O36" s="30">
        <v>2000</v>
      </c>
    </row>
    <row r="37" spans="1:15" x14ac:dyDescent="0.2">
      <c r="A37" s="31">
        <f t="shared" si="0"/>
        <v>34</v>
      </c>
      <c r="B37" s="27"/>
      <c r="C37" s="26"/>
      <c r="D37" s="28"/>
      <c r="E37" s="30"/>
      <c r="F37" s="30">
        <f t="shared" si="1"/>
        <v>102367</v>
      </c>
      <c r="G37" s="31"/>
      <c r="H37" s="31"/>
      <c r="N37" s="30"/>
      <c r="O37" s="30">
        <v>7000</v>
      </c>
    </row>
    <row r="38" spans="1:15" x14ac:dyDescent="0.2">
      <c r="A38" s="31">
        <f t="shared" si="0"/>
        <v>35</v>
      </c>
      <c r="B38" s="27"/>
      <c r="C38" s="26"/>
      <c r="D38" s="28"/>
      <c r="E38" s="30"/>
      <c r="F38" s="30">
        <f t="shared" si="1"/>
        <v>102367</v>
      </c>
      <c r="G38" s="31"/>
      <c r="H38" s="31"/>
      <c r="N38" s="30">
        <v>40000</v>
      </c>
      <c r="O38" s="30">
        <v>40000</v>
      </c>
    </row>
    <row r="39" spans="1:15" x14ac:dyDescent="0.2">
      <c r="A39" s="31">
        <f t="shared" si="0"/>
        <v>36</v>
      </c>
      <c r="B39" s="27"/>
      <c r="C39" s="26"/>
      <c r="D39" s="28"/>
      <c r="E39" s="30"/>
      <c r="F39" s="30">
        <f t="shared" si="1"/>
        <v>102367</v>
      </c>
      <c r="G39" s="31"/>
      <c r="H39" s="31"/>
      <c r="N39" s="30">
        <v>40000</v>
      </c>
      <c r="O39" s="30">
        <v>30000</v>
      </c>
    </row>
    <row r="40" spans="1:15" x14ac:dyDescent="0.2">
      <c r="A40" s="31">
        <f t="shared" si="0"/>
        <v>37</v>
      </c>
      <c r="B40" s="27"/>
      <c r="C40" s="26"/>
      <c r="D40" s="28"/>
      <c r="E40" s="30"/>
      <c r="F40" s="30">
        <f t="shared" si="1"/>
        <v>102367</v>
      </c>
      <c r="G40" s="31"/>
      <c r="H40" s="31"/>
      <c r="N40" s="30">
        <v>5000</v>
      </c>
      <c r="O40" s="30">
        <v>40000</v>
      </c>
    </row>
    <row r="41" spans="1:15" x14ac:dyDescent="0.2">
      <c r="A41" s="31">
        <f t="shared" si="0"/>
        <v>38</v>
      </c>
      <c r="B41" s="27"/>
      <c r="C41" s="26"/>
      <c r="D41" s="28"/>
      <c r="E41" s="30"/>
      <c r="F41" s="30">
        <f t="shared" si="1"/>
        <v>102367</v>
      </c>
      <c r="G41" s="31"/>
      <c r="H41" s="31"/>
      <c r="N41" s="30">
        <v>28800</v>
      </c>
      <c r="O41" s="30">
        <v>5000</v>
      </c>
    </row>
    <row r="42" spans="1:15" x14ac:dyDescent="0.2">
      <c r="A42" s="31">
        <f t="shared" si="0"/>
        <v>39</v>
      </c>
      <c r="B42" s="27"/>
      <c r="C42" s="26"/>
      <c r="D42" s="28"/>
      <c r="E42" s="30"/>
      <c r="F42" s="30">
        <f t="shared" si="1"/>
        <v>102367</v>
      </c>
      <c r="G42" s="31"/>
      <c r="H42" s="31"/>
      <c r="N42" s="30">
        <v>70000</v>
      </c>
      <c r="O42" s="30">
        <v>20000</v>
      </c>
    </row>
    <row r="43" spans="1:15" x14ac:dyDescent="0.2">
      <c r="A43" s="31">
        <f t="shared" si="0"/>
        <v>40</v>
      </c>
      <c r="B43" s="27"/>
      <c r="C43" s="26"/>
      <c r="D43" s="28"/>
      <c r="E43" s="30"/>
      <c r="F43" s="30">
        <f t="shared" si="1"/>
        <v>102367</v>
      </c>
      <c r="G43" s="31"/>
      <c r="H43" s="31"/>
      <c r="N43" s="30">
        <v>10000</v>
      </c>
      <c r="O43" s="30">
        <v>10000</v>
      </c>
    </row>
    <row r="44" spans="1:15" x14ac:dyDescent="0.2">
      <c r="A44" s="31">
        <f t="shared" si="0"/>
        <v>41</v>
      </c>
      <c r="B44" s="27"/>
      <c r="C44" s="26"/>
      <c r="D44" s="28"/>
      <c r="E44" s="30"/>
      <c r="F44" s="30">
        <f t="shared" si="1"/>
        <v>102367</v>
      </c>
      <c r="G44" s="31"/>
      <c r="H44" s="31"/>
      <c r="N44" s="30">
        <v>832</v>
      </c>
      <c r="O44" s="30">
        <v>10000</v>
      </c>
    </row>
    <row r="45" spans="1:15" x14ac:dyDescent="0.2">
      <c r="A45" s="31">
        <f t="shared" si="0"/>
        <v>42</v>
      </c>
      <c r="B45" s="27"/>
      <c r="C45" s="26"/>
      <c r="D45" s="28"/>
      <c r="E45" s="30"/>
      <c r="F45" s="30">
        <f t="shared" si="1"/>
        <v>102367</v>
      </c>
      <c r="G45" s="31"/>
      <c r="H45" s="31"/>
      <c r="N45" s="30">
        <v>15000</v>
      </c>
      <c r="O45" s="30">
        <v>5000</v>
      </c>
    </row>
    <row r="46" spans="1:15" x14ac:dyDescent="0.2">
      <c r="A46" s="31">
        <f t="shared" si="0"/>
        <v>43</v>
      </c>
      <c r="B46" s="27"/>
      <c r="C46" s="26"/>
      <c r="D46" s="28"/>
      <c r="E46" s="30"/>
      <c r="F46" s="30">
        <f t="shared" si="1"/>
        <v>102367</v>
      </c>
      <c r="G46" s="31"/>
      <c r="H46" s="31"/>
      <c r="N46" s="30">
        <v>15000</v>
      </c>
      <c r="O46" s="30"/>
    </row>
    <row r="47" spans="1:15" x14ac:dyDescent="0.2">
      <c r="A47" s="31">
        <f t="shared" si="0"/>
        <v>44</v>
      </c>
      <c r="B47" s="27"/>
      <c r="C47" s="26"/>
      <c r="D47" s="28"/>
      <c r="E47" s="30"/>
      <c r="F47" s="30">
        <f t="shared" si="1"/>
        <v>102367</v>
      </c>
      <c r="G47" s="31"/>
      <c r="H47" s="31"/>
      <c r="N47" s="30">
        <v>50000</v>
      </c>
      <c r="O47" s="30">
        <v>75000</v>
      </c>
    </row>
    <row r="48" spans="1:15" x14ac:dyDescent="0.2">
      <c r="A48" s="31">
        <f t="shared" si="0"/>
        <v>45</v>
      </c>
      <c r="B48" s="27"/>
      <c r="C48" s="26"/>
      <c r="D48" s="28"/>
      <c r="E48" s="30"/>
      <c r="F48" s="30">
        <f t="shared" si="1"/>
        <v>102367</v>
      </c>
      <c r="G48" s="31"/>
      <c r="H48" s="31"/>
      <c r="N48" s="30">
        <v>10000</v>
      </c>
      <c r="O48" s="30"/>
    </row>
    <row r="49" spans="1:14" x14ac:dyDescent="0.2">
      <c r="A49" s="31">
        <f t="shared" si="0"/>
        <v>46</v>
      </c>
      <c r="B49" s="27"/>
      <c r="C49" s="26"/>
      <c r="D49" s="28"/>
      <c r="E49" s="30"/>
      <c r="F49" s="30">
        <f t="shared" si="1"/>
        <v>102367</v>
      </c>
      <c r="G49" s="31"/>
      <c r="H49" s="31"/>
      <c r="N49" s="30"/>
    </row>
    <row r="50" spans="1:14" x14ac:dyDescent="0.2">
      <c r="A50" s="31">
        <f t="shared" si="0"/>
        <v>47</v>
      </c>
      <c r="B50" s="27"/>
      <c r="C50" s="26"/>
      <c r="D50" s="28"/>
      <c r="E50" s="30"/>
      <c r="F50" s="30">
        <f t="shared" si="1"/>
        <v>102367</v>
      </c>
      <c r="G50" s="31"/>
      <c r="H50" s="31"/>
      <c r="N50" s="30">
        <v>90000</v>
      </c>
    </row>
    <row r="51" spans="1:14" x14ac:dyDescent="0.2">
      <c r="A51" s="31">
        <f t="shared" si="0"/>
        <v>48</v>
      </c>
      <c r="B51" s="27"/>
      <c r="C51" s="26"/>
      <c r="D51" s="28"/>
      <c r="E51" s="30"/>
      <c r="F51" s="30">
        <f t="shared" si="1"/>
        <v>102367</v>
      </c>
      <c r="G51" s="31"/>
      <c r="H51" s="31"/>
      <c r="N51" s="30">
        <v>10000</v>
      </c>
    </row>
    <row r="52" spans="1:14" x14ac:dyDescent="0.2">
      <c r="A52" s="31">
        <f t="shared" si="0"/>
        <v>49</v>
      </c>
      <c r="B52" s="27"/>
      <c r="C52" s="26"/>
      <c r="D52" s="28"/>
      <c r="E52" s="30"/>
      <c r="F52" s="30">
        <f t="shared" si="1"/>
        <v>102367</v>
      </c>
      <c r="G52" s="31"/>
      <c r="H52" s="31"/>
      <c r="N52" s="30">
        <v>10000</v>
      </c>
    </row>
    <row r="53" spans="1:14" x14ac:dyDescent="0.2">
      <c r="A53" s="31">
        <f t="shared" si="0"/>
        <v>50</v>
      </c>
      <c r="B53" s="27"/>
      <c r="C53" s="26"/>
      <c r="D53" s="28"/>
      <c r="E53" s="34"/>
      <c r="F53" s="30">
        <f t="shared" si="1"/>
        <v>102367</v>
      </c>
      <c r="G53" s="31"/>
      <c r="H53" s="31"/>
    </row>
    <row r="54" spans="1:14" x14ac:dyDescent="0.2">
      <c r="A54" s="31">
        <f t="shared" si="0"/>
        <v>51</v>
      </c>
      <c r="B54" s="27"/>
      <c r="C54" s="26"/>
      <c r="D54" s="28"/>
      <c r="E54" s="30"/>
      <c r="F54" s="30">
        <f t="shared" si="1"/>
        <v>102367</v>
      </c>
      <c r="G54" s="31"/>
      <c r="H54" s="31"/>
    </row>
    <row r="55" spans="1:14" x14ac:dyDescent="0.2">
      <c r="A55" s="31">
        <f t="shared" si="0"/>
        <v>52</v>
      </c>
      <c r="B55" s="27"/>
      <c r="C55" s="26"/>
      <c r="D55" s="28"/>
      <c r="E55" s="30"/>
      <c r="F55" s="30">
        <f t="shared" si="1"/>
        <v>102367</v>
      </c>
      <c r="G55" s="31"/>
      <c r="H55" s="31"/>
    </row>
    <row r="56" spans="1:14" x14ac:dyDescent="0.2">
      <c r="A56" s="31">
        <f t="shared" si="0"/>
        <v>53</v>
      </c>
      <c r="B56" s="27"/>
      <c r="C56" s="26"/>
      <c r="D56" s="28"/>
      <c r="E56" s="30"/>
      <c r="F56" s="30">
        <f t="shared" si="1"/>
        <v>102367</v>
      </c>
      <c r="G56" s="31"/>
      <c r="H56" s="31"/>
    </row>
    <row r="57" spans="1:14" x14ac:dyDescent="0.2">
      <c r="A57" s="31">
        <f t="shared" si="0"/>
        <v>54</v>
      </c>
      <c r="B57" s="27"/>
      <c r="C57" s="26"/>
      <c r="D57" s="28"/>
      <c r="E57" s="30"/>
      <c r="F57" s="30">
        <f t="shared" si="1"/>
        <v>102367</v>
      </c>
      <c r="G57" s="31"/>
      <c r="H57" s="31"/>
    </row>
    <row r="58" spans="1:14" x14ac:dyDescent="0.2">
      <c r="A58" s="31">
        <f t="shared" si="0"/>
        <v>55</v>
      </c>
      <c r="B58" s="27"/>
      <c r="C58" s="26"/>
      <c r="D58" s="28"/>
      <c r="E58" s="30"/>
      <c r="F58" s="30">
        <f t="shared" si="1"/>
        <v>102367</v>
      </c>
      <c r="G58" s="31"/>
      <c r="H58" s="31"/>
    </row>
    <row r="59" spans="1:14" x14ac:dyDescent="0.2">
      <c r="A59" s="31">
        <f t="shared" si="0"/>
        <v>56</v>
      </c>
      <c r="B59" s="27"/>
      <c r="C59" s="26"/>
      <c r="D59" s="28"/>
      <c r="E59" s="30"/>
      <c r="F59" s="30">
        <f t="shared" si="1"/>
        <v>102367</v>
      </c>
      <c r="G59" s="31"/>
      <c r="H59" s="31"/>
    </row>
    <row r="60" spans="1:14" x14ac:dyDescent="0.2">
      <c r="A60" s="31">
        <f t="shared" si="0"/>
        <v>57</v>
      </c>
      <c r="B60" s="27"/>
      <c r="C60" s="26"/>
      <c r="D60" s="28"/>
      <c r="E60" s="30"/>
      <c r="F60" s="30">
        <f t="shared" si="1"/>
        <v>102367</v>
      </c>
      <c r="G60" s="31"/>
      <c r="H60" s="31"/>
    </row>
    <row r="61" spans="1:14" x14ac:dyDescent="0.2">
      <c r="A61" s="31">
        <f t="shared" si="0"/>
        <v>58</v>
      </c>
      <c r="B61" s="27"/>
      <c r="C61" s="26"/>
      <c r="D61" s="28"/>
      <c r="E61" s="30"/>
      <c r="F61" s="30">
        <f t="shared" si="1"/>
        <v>102367</v>
      </c>
      <c r="G61" s="31"/>
      <c r="H61" s="31"/>
    </row>
    <row r="62" spans="1:14" x14ac:dyDescent="0.2">
      <c r="A62" s="31">
        <f t="shared" si="0"/>
        <v>59</v>
      </c>
      <c r="B62" s="27"/>
      <c r="C62" s="26"/>
      <c r="D62" s="28"/>
      <c r="E62" s="30"/>
      <c r="F62" s="30">
        <f t="shared" si="1"/>
        <v>102367</v>
      </c>
      <c r="G62" s="31"/>
      <c r="H62" s="31"/>
    </row>
    <row r="63" spans="1:14" x14ac:dyDescent="0.2">
      <c r="A63" s="31">
        <f t="shared" si="0"/>
        <v>60</v>
      </c>
      <c r="B63" s="27"/>
      <c r="C63" s="26"/>
      <c r="D63" s="28"/>
      <c r="E63" s="34"/>
      <c r="F63" s="30">
        <f t="shared" si="1"/>
        <v>102367</v>
      </c>
      <c r="G63" s="31"/>
      <c r="H63" s="31"/>
    </row>
    <row r="64" spans="1:14" x14ac:dyDescent="0.2">
      <c r="A64" s="31">
        <f t="shared" si="0"/>
        <v>61</v>
      </c>
      <c r="B64" s="27"/>
      <c r="C64" s="26"/>
      <c r="D64" s="28"/>
      <c r="E64" s="34"/>
      <c r="F64" s="30">
        <f t="shared" si="1"/>
        <v>102367</v>
      </c>
      <c r="G64" s="31"/>
      <c r="H64" s="31"/>
    </row>
    <row r="65" spans="1:8" x14ac:dyDescent="0.2">
      <c r="A65" s="31">
        <f t="shared" si="0"/>
        <v>62</v>
      </c>
      <c r="B65" s="27"/>
      <c r="C65" s="26"/>
      <c r="D65" s="28"/>
      <c r="E65" s="30"/>
      <c r="F65" s="30">
        <f t="shared" si="1"/>
        <v>102367</v>
      </c>
      <c r="G65" s="31"/>
      <c r="H65" s="31"/>
    </row>
    <row r="66" spans="1:8" x14ac:dyDescent="0.2">
      <c r="A66" s="31">
        <f t="shared" si="0"/>
        <v>63</v>
      </c>
      <c r="B66" s="27"/>
      <c r="C66" s="26"/>
      <c r="D66" s="28"/>
      <c r="E66" s="30"/>
      <c r="F66" s="30">
        <f t="shared" si="1"/>
        <v>102367</v>
      </c>
      <c r="G66" s="31"/>
      <c r="H66" s="31"/>
    </row>
    <row r="67" spans="1:8" x14ac:dyDescent="0.2">
      <c r="A67" s="31">
        <f t="shared" si="0"/>
        <v>64</v>
      </c>
      <c r="B67" s="27"/>
      <c r="C67" s="26"/>
      <c r="D67" s="28"/>
      <c r="E67" s="30"/>
      <c r="F67" s="30">
        <f t="shared" si="1"/>
        <v>102367</v>
      </c>
      <c r="G67" s="31"/>
      <c r="H67" s="31"/>
    </row>
    <row r="68" spans="1:8" x14ac:dyDescent="0.2">
      <c r="A68" s="31">
        <f t="shared" si="0"/>
        <v>65</v>
      </c>
      <c r="B68" s="27"/>
      <c r="C68" s="26"/>
      <c r="D68" s="28"/>
      <c r="E68" s="30"/>
      <c r="F68" s="30">
        <f t="shared" si="1"/>
        <v>102367</v>
      </c>
      <c r="G68" s="31"/>
      <c r="H68" s="31"/>
    </row>
    <row r="69" spans="1:8" x14ac:dyDescent="0.2">
      <c r="A69" s="31">
        <f t="shared" si="0"/>
        <v>66</v>
      </c>
      <c r="B69" s="27"/>
      <c r="C69" s="26"/>
      <c r="D69" s="28"/>
      <c r="E69" s="30"/>
      <c r="F69" s="30">
        <f t="shared" si="1"/>
        <v>102367</v>
      </c>
      <c r="G69" s="31"/>
      <c r="H69" s="31"/>
    </row>
    <row r="70" spans="1:8" x14ac:dyDescent="0.2">
      <c r="A70" s="31">
        <f t="shared" ref="A70:A123" si="2">A69+1</f>
        <v>67</v>
      </c>
      <c r="B70" s="27"/>
      <c r="C70" s="26"/>
      <c r="D70" s="28"/>
      <c r="E70" s="30"/>
      <c r="F70" s="30">
        <f t="shared" ref="F70:F123" si="3">F69+D70-E70</f>
        <v>102367</v>
      </c>
      <c r="G70" s="31"/>
      <c r="H70" s="31"/>
    </row>
    <row r="71" spans="1:8" x14ac:dyDescent="0.2">
      <c r="A71" s="31">
        <f t="shared" si="2"/>
        <v>68</v>
      </c>
      <c r="B71" s="27"/>
      <c r="C71" s="26"/>
      <c r="D71" s="28"/>
      <c r="E71" s="30"/>
      <c r="F71" s="30">
        <f t="shared" si="3"/>
        <v>102367</v>
      </c>
      <c r="G71" s="31"/>
      <c r="H71" s="31"/>
    </row>
    <row r="72" spans="1:8" x14ac:dyDescent="0.2">
      <c r="A72" s="31">
        <f t="shared" si="2"/>
        <v>69</v>
      </c>
      <c r="B72" s="27"/>
      <c r="C72" s="26"/>
      <c r="D72" s="28"/>
      <c r="E72" s="30"/>
      <c r="F72" s="30">
        <f t="shared" si="3"/>
        <v>102367</v>
      </c>
      <c r="G72" s="31"/>
      <c r="H72" s="31"/>
    </row>
    <row r="73" spans="1:8" x14ac:dyDescent="0.2">
      <c r="A73" s="31">
        <f t="shared" si="2"/>
        <v>70</v>
      </c>
      <c r="B73" s="27"/>
      <c r="C73" s="26"/>
      <c r="D73" s="28"/>
      <c r="E73" s="30"/>
      <c r="F73" s="30">
        <f t="shared" si="3"/>
        <v>102367</v>
      </c>
      <c r="G73" s="31"/>
      <c r="H73" s="31"/>
    </row>
    <row r="74" spans="1:8" x14ac:dyDescent="0.2">
      <c r="A74" s="31">
        <f t="shared" si="2"/>
        <v>71</v>
      </c>
      <c r="B74" s="35"/>
      <c r="C74" s="31"/>
      <c r="D74" s="30"/>
      <c r="E74" s="30"/>
      <c r="F74" s="30">
        <f t="shared" si="3"/>
        <v>102367</v>
      </c>
      <c r="G74" s="31"/>
      <c r="H74" s="31"/>
    </row>
    <row r="75" spans="1:8" x14ac:dyDescent="0.2">
      <c r="A75" s="31">
        <f t="shared" si="2"/>
        <v>72</v>
      </c>
      <c r="B75" s="35"/>
      <c r="C75" s="31"/>
      <c r="D75" s="30"/>
      <c r="E75" s="30"/>
      <c r="F75" s="30">
        <f t="shared" si="3"/>
        <v>102367</v>
      </c>
      <c r="G75" s="31"/>
      <c r="H75" s="31"/>
    </row>
    <row r="76" spans="1:8" x14ac:dyDescent="0.2">
      <c r="A76" s="31">
        <f t="shared" si="2"/>
        <v>73</v>
      </c>
      <c r="B76" s="35"/>
      <c r="C76" s="31"/>
      <c r="D76" s="30"/>
      <c r="E76" s="30"/>
      <c r="F76" s="30">
        <f t="shared" si="3"/>
        <v>102367</v>
      </c>
      <c r="G76" s="31"/>
      <c r="H76" s="31"/>
    </row>
    <row r="77" spans="1:8" x14ac:dyDescent="0.2">
      <c r="A77" s="31">
        <f t="shared" si="2"/>
        <v>74</v>
      </c>
      <c r="B77" s="35"/>
      <c r="C77" s="31"/>
      <c r="D77" s="30"/>
      <c r="E77" s="30"/>
      <c r="F77" s="30">
        <f t="shared" si="3"/>
        <v>102367</v>
      </c>
      <c r="G77" s="31"/>
      <c r="H77" s="31"/>
    </row>
    <row r="78" spans="1:8" x14ac:dyDescent="0.2">
      <c r="A78" s="31">
        <f t="shared" si="2"/>
        <v>75</v>
      </c>
      <c r="B78" s="35"/>
      <c r="C78" s="31"/>
      <c r="D78" s="30"/>
      <c r="E78" s="30"/>
      <c r="F78" s="30">
        <f t="shared" si="3"/>
        <v>102367</v>
      </c>
      <c r="G78" s="31"/>
      <c r="H78" s="31"/>
    </row>
    <row r="79" spans="1:8" x14ac:dyDescent="0.2">
      <c r="A79" s="31">
        <f t="shared" si="2"/>
        <v>76</v>
      </c>
      <c r="B79" s="35"/>
      <c r="C79" s="31"/>
      <c r="D79" s="30"/>
      <c r="E79" s="30"/>
      <c r="F79" s="30">
        <f t="shared" si="3"/>
        <v>102367</v>
      </c>
      <c r="G79" s="31"/>
      <c r="H79" s="31"/>
    </row>
    <row r="80" spans="1:8" x14ac:dyDescent="0.2">
      <c r="A80" s="31">
        <f t="shared" si="2"/>
        <v>77</v>
      </c>
      <c r="B80" s="35"/>
      <c r="C80" s="31"/>
      <c r="D80" s="30"/>
      <c r="E80" s="30"/>
      <c r="F80" s="30">
        <f t="shared" si="3"/>
        <v>102367</v>
      </c>
      <c r="G80" s="31"/>
      <c r="H80" s="31"/>
    </row>
    <row r="81" spans="1:8" x14ac:dyDescent="0.2">
      <c r="A81" s="31">
        <f t="shared" si="2"/>
        <v>78</v>
      </c>
      <c r="B81" s="35"/>
      <c r="C81" s="31"/>
      <c r="D81" s="30"/>
      <c r="E81" s="30"/>
      <c r="F81" s="30">
        <f t="shared" si="3"/>
        <v>102367</v>
      </c>
      <c r="G81" s="31"/>
      <c r="H81" s="31"/>
    </row>
    <row r="82" spans="1:8" x14ac:dyDescent="0.2">
      <c r="A82" s="31">
        <f t="shared" si="2"/>
        <v>79</v>
      </c>
      <c r="B82" s="35"/>
      <c r="C82" s="31"/>
      <c r="D82" s="30"/>
      <c r="E82" s="30"/>
      <c r="F82" s="30">
        <f t="shared" si="3"/>
        <v>102367</v>
      </c>
      <c r="G82" s="31"/>
      <c r="H82" s="31"/>
    </row>
    <row r="83" spans="1:8" x14ac:dyDescent="0.2">
      <c r="A83" s="31">
        <f t="shared" si="2"/>
        <v>80</v>
      </c>
      <c r="B83" s="35"/>
      <c r="C83" s="31"/>
      <c r="D83" s="30"/>
      <c r="E83" s="30"/>
      <c r="F83" s="30">
        <f t="shared" si="3"/>
        <v>102367</v>
      </c>
      <c r="G83" s="31"/>
      <c r="H83" s="31"/>
    </row>
    <row r="84" spans="1:8" x14ac:dyDescent="0.2">
      <c r="A84" s="31">
        <f t="shared" si="2"/>
        <v>81</v>
      </c>
      <c r="B84" s="31"/>
      <c r="C84" s="31"/>
      <c r="D84" s="30"/>
      <c r="E84" s="30"/>
      <c r="F84" s="30">
        <f t="shared" si="3"/>
        <v>102367</v>
      </c>
      <c r="G84" s="31"/>
      <c r="H84" s="31"/>
    </row>
    <row r="85" spans="1:8" x14ac:dyDescent="0.2">
      <c r="A85" s="31">
        <f t="shared" si="2"/>
        <v>82</v>
      </c>
      <c r="B85" s="31"/>
      <c r="C85" s="31"/>
      <c r="D85" s="30"/>
      <c r="E85" s="30"/>
      <c r="F85" s="30">
        <f t="shared" si="3"/>
        <v>102367</v>
      </c>
      <c r="G85" s="31"/>
      <c r="H85" s="31"/>
    </row>
    <row r="86" spans="1:8" x14ac:dyDescent="0.2">
      <c r="A86" s="31">
        <f t="shared" si="2"/>
        <v>83</v>
      </c>
      <c r="B86" s="31"/>
      <c r="C86" s="31"/>
      <c r="D86" s="30"/>
      <c r="E86" s="30"/>
      <c r="F86" s="30">
        <f t="shared" si="3"/>
        <v>102367</v>
      </c>
      <c r="G86" s="31"/>
      <c r="H86" s="31"/>
    </row>
    <row r="87" spans="1:8" x14ac:dyDescent="0.2">
      <c r="A87" s="31">
        <f t="shared" si="2"/>
        <v>84</v>
      </c>
      <c r="B87" s="31"/>
      <c r="C87" s="31"/>
      <c r="D87" s="30"/>
      <c r="E87" s="30"/>
      <c r="F87" s="30">
        <f t="shared" si="3"/>
        <v>102367</v>
      </c>
      <c r="G87" s="31"/>
      <c r="H87" s="31"/>
    </row>
    <row r="88" spans="1:8" x14ac:dyDescent="0.2">
      <c r="A88" s="31">
        <f t="shared" si="2"/>
        <v>85</v>
      </c>
      <c r="B88" s="31"/>
      <c r="C88" s="31"/>
      <c r="D88" s="30"/>
      <c r="E88" s="30"/>
      <c r="F88" s="30">
        <f t="shared" si="3"/>
        <v>102367</v>
      </c>
      <c r="G88" s="31"/>
      <c r="H88" s="31"/>
    </row>
    <row r="89" spans="1:8" x14ac:dyDescent="0.2">
      <c r="A89" s="31">
        <f t="shared" si="2"/>
        <v>86</v>
      </c>
      <c r="B89" s="31"/>
      <c r="C89" s="31"/>
      <c r="D89" s="30"/>
      <c r="E89" s="30"/>
      <c r="F89" s="30">
        <f t="shared" si="3"/>
        <v>102367</v>
      </c>
      <c r="G89" s="31"/>
      <c r="H89" s="31"/>
    </row>
    <row r="90" spans="1:8" x14ac:dyDescent="0.2">
      <c r="A90" s="31">
        <f t="shared" si="2"/>
        <v>87</v>
      </c>
      <c r="B90" s="31"/>
      <c r="C90" s="31"/>
      <c r="D90" s="30"/>
      <c r="E90" s="30"/>
      <c r="F90" s="30">
        <f t="shared" si="3"/>
        <v>102367</v>
      </c>
      <c r="G90" s="31"/>
      <c r="H90" s="31"/>
    </row>
    <row r="91" spans="1:8" x14ac:dyDescent="0.2">
      <c r="A91" s="31">
        <f t="shared" si="2"/>
        <v>88</v>
      </c>
      <c r="B91" s="31"/>
      <c r="C91" s="31"/>
      <c r="D91" s="30"/>
      <c r="E91" s="30"/>
      <c r="F91" s="30">
        <f t="shared" si="3"/>
        <v>102367</v>
      </c>
      <c r="G91" s="31"/>
      <c r="H91" s="31"/>
    </row>
    <row r="92" spans="1:8" x14ac:dyDescent="0.2">
      <c r="A92" s="31">
        <f t="shared" si="2"/>
        <v>89</v>
      </c>
      <c r="B92" s="31"/>
      <c r="C92" s="31"/>
      <c r="D92" s="30"/>
      <c r="E92" s="30"/>
      <c r="F92" s="30">
        <f t="shared" si="3"/>
        <v>102367</v>
      </c>
      <c r="G92" s="31"/>
      <c r="H92" s="31"/>
    </row>
    <row r="93" spans="1:8" x14ac:dyDescent="0.2">
      <c r="A93" s="31">
        <f t="shared" si="2"/>
        <v>90</v>
      </c>
      <c r="B93" s="31"/>
      <c r="C93" s="31"/>
      <c r="D93" s="30"/>
      <c r="E93" s="30"/>
      <c r="F93" s="30">
        <f t="shared" si="3"/>
        <v>102367</v>
      </c>
      <c r="G93" s="31"/>
      <c r="H93" s="31"/>
    </row>
    <row r="94" spans="1:8" x14ac:dyDescent="0.2">
      <c r="A94" s="31">
        <f t="shared" si="2"/>
        <v>91</v>
      </c>
      <c r="B94" s="31"/>
      <c r="C94" s="31"/>
      <c r="D94" s="30"/>
      <c r="E94" s="30"/>
      <c r="F94" s="30">
        <f t="shared" si="3"/>
        <v>102367</v>
      </c>
      <c r="G94" s="31"/>
      <c r="H94" s="31"/>
    </row>
    <row r="95" spans="1:8" x14ac:dyDescent="0.2">
      <c r="A95" s="31">
        <f t="shared" si="2"/>
        <v>92</v>
      </c>
      <c r="B95" s="31"/>
      <c r="C95" s="31"/>
      <c r="D95" s="30"/>
      <c r="E95" s="30"/>
      <c r="F95" s="30">
        <f t="shared" si="3"/>
        <v>102367</v>
      </c>
      <c r="G95" s="31"/>
      <c r="H95" s="31"/>
    </row>
    <row r="96" spans="1:8" x14ac:dyDescent="0.2">
      <c r="A96" s="31">
        <f t="shared" si="2"/>
        <v>93</v>
      </c>
      <c r="B96" s="31"/>
      <c r="C96" s="31"/>
      <c r="D96" s="30"/>
      <c r="E96" s="30"/>
      <c r="F96" s="30">
        <f t="shared" si="3"/>
        <v>102367</v>
      </c>
      <c r="G96" s="31"/>
      <c r="H96" s="31"/>
    </row>
    <row r="97" spans="1:8" x14ac:dyDescent="0.2">
      <c r="A97" s="31">
        <f t="shared" si="2"/>
        <v>94</v>
      </c>
      <c r="B97" s="31"/>
      <c r="C97" s="31"/>
      <c r="D97" s="30"/>
      <c r="E97" s="30"/>
      <c r="F97" s="30">
        <f t="shared" si="3"/>
        <v>102367</v>
      </c>
      <c r="G97" s="31"/>
      <c r="H97" s="31"/>
    </row>
    <row r="98" spans="1:8" x14ac:dyDescent="0.2">
      <c r="A98" s="31">
        <f t="shared" si="2"/>
        <v>95</v>
      </c>
      <c r="B98" s="31"/>
      <c r="C98" s="31"/>
      <c r="D98" s="30"/>
      <c r="E98" s="30"/>
      <c r="F98" s="30">
        <f t="shared" si="3"/>
        <v>102367</v>
      </c>
      <c r="G98" s="31"/>
      <c r="H98" s="31"/>
    </row>
    <row r="99" spans="1:8" x14ac:dyDescent="0.2">
      <c r="A99" s="31">
        <f t="shared" si="2"/>
        <v>96</v>
      </c>
      <c r="B99" s="31"/>
      <c r="C99" s="31"/>
      <c r="D99" s="30"/>
      <c r="E99" s="30"/>
      <c r="F99" s="30">
        <f t="shared" si="3"/>
        <v>102367</v>
      </c>
      <c r="G99" s="31"/>
      <c r="H99" s="31"/>
    </row>
    <row r="100" spans="1:8" x14ac:dyDescent="0.2">
      <c r="A100" s="31">
        <f t="shared" si="2"/>
        <v>97</v>
      </c>
      <c r="B100" s="31"/>
      <c r="C100" s="31"/>
      <c r="D100" s="30"/>
      <c r="E100" s="30"/>
      <c r="F100" s="30">
        <f t="shared" si="3"/>
        <v>102367</v>
      </c>
      <c r="G100" s="31"/>
      <c r="H100" s="31"/>
    </row>
    <row r="101" spans="1:8" x14ac:dyDescent="0.2">
      <c r="A101" s="31">
        <f t="shared" si="2"/>
        <v>98</v>
      </c>
      <c r="B101" s="31"/>
      <c r="C101" s="31"/>
      <c r="D101" s="30"/>
      <c r="E101" s="30"/>
      <c r="F101" s="30">
        <f t="shared" si="3"/>
        <v>102367</v>
      </c>
      <c r="G101" s="31"/>
      <c r="H101" s="31"/>
    </row>
    <row r="102" spans="1:8" x14ac:dyDescent="0.2">
      <c r="A102" s="31">
        <f t="shared" si="2"/>
        <v>99</v>
      </c>
      <c r="B102" s="31"/>
      <c r="C102" s="31"/>
      <c r="D102" s="30"/>
      <c r="E102" s="30"/>
      <c r="F102" s="30">
        <f t="shared" si="3"/>
        <v>102367</v>
      </c>
      <c r="G102" s="31"/>
      <c r="H102" s="31"/>
    </row>
    <row r="103" spans="1:8" x14ac:dyDescent="0.2">
      <c r="A103" s="31">
        <f t="shared" si="2"/>
        <v>100</v>
      </c>
      <c r="B103" s="31"/>
      <c r="C103" s="31"/>
      <c r="D103" s="30"/>
      <c r="E103" s="30"/>
      <c r="F103" s="30">
        <f t="shared" si="3"/>
        <v>102367</v>
      </c>
      <c r="G103" s="31"/>
      <c r="H103" s="31"/>
    </row>
    <row r="104" spans="1:8" x14ac:dyDescent="0.2">
      <c r="A104" s="31">
        <f t="shared" si="2"/>
        <v>101</v>
      </c>
      <c r="B104" s="31"/>
      <c r="C104" s="31"/>
      <c r="D104" s="30"/>
      <c r="E104" s="30"/>
      <c r="F104" s="30">
        <f t="shared" si="3"/>
        <v>102367</v>
      </c>
      <c r="G104" s="31"/>
      <c r="H104" s="31"/>
    </row>
    <row r="105" spans="1:8" x14ac:dyDescent="0.2">
      <c r="A105" s="31">
        <f t="shared" si="2"/>
        <v>102</v>
      </c>
      <c r="B105" s="31"/>
      <c r="C105" s="31"/>
      <c r="D105" s="30"/>
      <c r="E105" s="30"/>
      <c r="F105" s="30">
        <f t="shared" si="3"/>
        <v>102367</v>
      </c>
      <c r="G105" s="31"/>
      <c r="H105" s="31"/>
    </row>
    <row r="106" spans="1:8" x14ac:dyDescent="0.2">
      <c r="A106" s="31">
        <f t="shared" si="2"/>
        <v>103</v>
      </c>
      <c r="B106" s="31"/>
      <c r="C106" s="31"/>
      <c r="D106" s="30"/>
      <c r="E106" s="30"/>
      <c r="F106" s="30">
        <f t="shared" si="3"/>
        <v>102367</v>
      </c>
      <c r="G106" s="31"/>
      <c r="H106" s="31"/>
    </row>
    <row r="107" spans="1:8" x14ac:dyDescent="0.2">
      <c r="A107" s="31">
        <f t="shared" si="2"/>
        <v>104</v>
      </c>
      <c r="B107" s="31"/>
      <c r="C107" s="31"/>
      <c r="D107" s="30"/>
      <c r="E107" s="30"/>
      <c r="F107" s="30">
        <f t="shared" si="3"/>
        <v>102367</v>
      </c>
      <c r="G107" s="31"/>
      <c r="H107" s="31"/>
    </row>
    <row r="108" spans="1:8" x14ac:dyDescent="0.2">
      <c r="A108" s="31">
        <f t="shared" si="2"/>
        <v>105</v>
      </c>
      <c r="B108" s="31"/>
      <c r="C108" s="31"/>
      <c r="D108" s="30"/>
      <c r="E108" s="30"/>
      <c r="F108" s="30">
        <f t="shared" si="3"/>
        <v>102367</v>
      </c>
      <c r="G108" s="31"/>
      <c r="H108" s="31"/>
    </row>
    <row r="109" spans="1:8" x14ac:dyDescent="0.2">
      <c r="A109" s="31">
        <f t="shared" si="2"/>
        <v>106</v>
      </c>
      <c r="B109" s="31"/>
      <c r="C109" s="31"/>
      <c r="D109" s="30"/>
      <c r="E109" s="30"/>
      <c r="F109" s="30">
        <f t="shared" si="3"/>
        <v>102367</v>
      </c>
      <c r="G109" s="31"/>
      <c r="H109" s="31"/>
    </row>
    <row r="110" spans="1:8" x14ac:dyDescent="0.2">
      <c r="A110" s="31">
        <f t="shared" si="2"/>
        <v>107</v>
      </c>
      <c r="B110" s="31"/>
      <c r="C110" s="31"/>
      <c r="D110" s="30"/>
      <c r="E110" s="30"/>
      <c r="F110" s="30">
        <f t="shared" si="3"/>
        <v>102367</v>
      </c>
      <c r="G110" s="31"/>
      <c r="H110" s="31"/>
    </row>
    <row r="111" spans="1:8" x14ac:dyDescent="0.2">
      <c r="A111" s="31">
        <f t="shared" si="2"/>
        <v>108</v>
      </c>
      <c r="B111" s="31"/>
      <c r="C111" s="31"/>
      <c r="D111" s="30"/>
      <c r="E111" s="30"/>
      <c r="F111" s="30">
        <f t="shared" si="3"/>
        <v>102367</v>
      </c>
      <c r="G111" s="31"/>
      <c r="H111" s="31"/>
    </row>
    <row r="112" spans="1:8" x14ac:dyDescent="0.2">
      <c r="A112" s="31">
        <f t="shared" si="2"/>
        <v>109</v>
      </c>
      <c r="B112" s="31"/>
      <c r="C112" s="31"/>
      <c r="D112" s="30"/>
      <c r="E112" s="30"/>
      <c r="F112" s="30">
        <f t="shared" si="3"/>
        <v>102367</v>
      </c>
      <c r="G112" s="31"/>
      <c r="H112" s="31"/>
    </row>
    <row r="113" spans="1:8" x14ac:dyDescent="0.2">
      <c r="A113" s="31">
        <f t="shared" si="2"/>
        <v>110</v>
      </c>
      <c r="B113" s="31"/>
      <c r="C113" s="31"/>
      <c r="D113" s="30"/>
      <c r="E113" s="30"/>
      <c r="F113" s="30">
        <f t="shared" si="3"/>
        <v>102367</v>
      </c>
      <c r="G113" s="31"/>
      <c r="H113" s="31"/>
    </row>
    <row r="114" spans="1:8" x14ac:dyDescent="0.2">
      <c r="A114" s="31">
        <f t="shared" si="2"/>
        <v>111</v>
      </c>
      <c r="B114" s="31"/>
      <c r="C114" s="31"/>
      <c r="D114" s="30"/>
      <c r="E114" s="30"/>
      <c r="F114" s="30">
        <f t="shared" si="3"/>
        <v>102367</v>
      </c>
      <c r="G114" s="31"/>
      <c r="H114" s="31"/>
    </row>
    <row r="115" spans="1:8" x14ac:dyDescent="0.2">
      <c r="A115" s="31">
        <f t="shared" si="2"/>
        <v>112</v>
      </c>
      <c r="B115" s="31"/>
      <c r="C115" s="31"/>
      <c r="D115" s="30"/>
      <c r="E115" s="30"/>
      <c r="F115" s="30">
        <f t="shared" si="3"/>
        <v>102367</v>
      </c>
      <c r="G115" s="31"/>
      <c r="H115" s="31"/>
    </row>
    <row r="116" spans="1:8" x14ac:dyDescent="0.2">
      <c r="A116" s="31">
        <f t="shared" si="2"/>
        <v>113</v>
      </c>
      <c r="B116" s="31"/>
      <c r="C116" s="31"/>
      <c r="D116" s="30"/>
      <c r="E116" s="30"/>
      <c r="F116" s="30">
        <f t="shared" si="3"/>
        <v>102367</v>
      </c>
      <c r="G116" s="31"/>
      <c r="H116" s="31"/>
    </row>
    <row r="117" spans="1:8" x14ac:dyDescent="0.2">
      <c r="A117" s="31">
        <f t="shared" si="2"/>
        <v>114</v>
      </c>
      <c r="B117" s="31"/>
      <c r="C117" s="31"/>
      <c r="D117" s="30"/>
      <c r="E117" s="30"/>
      <c r="F117" s="30">
        <f t="shared" si="3"/>
        <v>102367</v>
      </c>
      <c r="G117" s="31"/>
      <c r="H117" s="31"/>
    </row>
    <row r="118" spans="1:8" x14ac:dyDescent="0.2">
      <c r="A118" s="31">
        <f t="shared" si="2"/>
        <v>115</v>
      </c>
      <c r="B118" s="31"/>
      <c r="C118" s="31"/>
      <c r="D118" s="30"/>
      <c r="E118" s="30"/>
      <c r="F118" s="30">
        <f t="shared" si="3"/>
        <v>102367</v>
      </c>
      <c r="G118" s="31"/>
      <c r="H118" s="31"/>
    </row>
    <row r="119" spans="1:8" x14ac:dyDescent="0.2">
      <c r="A119" s="31">
        <f t="shared" si="2"/>
        <v>116</v>
      </c>
      <c r="B119" s="31"/>
      <c r="C119" s="31"/>
      <c r="D119" s="30"/>
      <c r="E119" s="30"/>
      <c r="F119" s="30">
        <f t="shared" si="3"/>
        <v>102367</v>
      </c>
      <c r="G119" s="31"/>
      <c r="H119" s="31"/>
    </row>
    <row r="120" spans="1:8" x14ac:dyDescent="0.2">
      <c r="A120" s="31">
        <f t="shared" si="2"/>
        <v>117</v>
      </c>
      <c r="B120" s="31"/>
      <c r="C120" s="31"/>
      <c r="D120" s="30"/>
      <c r="E120" s="30"/>
      <c r="F120" s="30">
        <f t="shared" si="3"/>
        <v>102367</v>
      </c>
      <c r="G120" s="31"/>
      <c r="H120" s="31"/>
    </row>
    <row r="121" spans="1:8" x14ac:dyDescent="0.2">
      <c r="A121" s="31">
        <f t="shared" si="2"/>
        <v>118</v>
      </c>
      <c r="B121" s="31"/>
      <c r="C121" s="31"/>
      <c r="D121" s="30"/>
      <c r="E121" s="30"/>
      <c r="F121" s="30">
        <f t="shared" si="3"/>
        <v>102367</v>
      </c>
      <c r="G121" s="31"/>
      <c r="H121" s="31"/>
    </row>
    <row r="122" spans="1:8" x14ac:dyDescent="0.2">
      <c r="A122" s="31">
        <f t="shared" si="2"/>
        <v>119</v>
      </c>
      <c r="B122" s="31"/>
      <c r="C122" s="31"/>
      <c r="D122" s="30"/>
      <c r="E122" s="30"/>
      <c r="F122" s="30">
        <f t="shared" si="3"/>
        <v>102367</v>
      </c>
      <c r="G122" s="31"/>
      <c r="H122" s="31"/>
    </row>
    <row r="123" spans="1:8" x14ac:dyDescent="0.2">
      <c r="A123" s="31">
        <f t="shared" si="2"/>
        <v>120</v>
      </c>
      <c r="B123" s="31"/>
      <c r="C123" s="31"/>
      <c r="D123" s="30"/>
      <c r="E123" s="30"/>
      <c r="F123" s="30">
        <f t="shared" si="3"/>
        <v>102367</v>
      </c>
      <c r="G123" s="31"/>
      <c r="H123" s="31"/>
    </row>
  </sheetData>
  <mergeCells count="1"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حساب حامد</vt:lpstr>
      <vt:lpstr>كل العملاء</vt:lpstr>
      <vt:lpstr>حامد بريد</vt:lpstr>
      <vt:lpstr>اسامه عبدالعظيم</vt:lpstr>
      <vt:lpstr>محمد حسن</vt:lpstr>
      <vt:lpstr>محمد العسقول</vt:lpstr>
      <vt:lpstr>غسان جمعة</vt:lpstr>
      <vt:lpstr>سيد ياسين</vt:lpstr>
      <vt:lpstr>فرزة</vt:lpstr>
      <vt:lpstr>محمدصابر</vt:lpstr>
      <vt:lpstr>هاني شتا</vt:lpstr>
      <vt:lpstr>نسخة اولية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2025-03-24T21:58:19Z</dcterms:modified>
</cp:coreProperties>
</file>